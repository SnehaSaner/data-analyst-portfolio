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11.xml"/>
  <Override ContentType="application/vnd.openxmlformats-officedocument.spreadsheetml.pivotTable+xml" PartName="/xl/pivotTables/pivotTable1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1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WUP.csv" sheetId="1" r:id="rId4"/>
    <sheet state="visible" name="Analysis" sheetId="2" r:id="rId5"/>
  </sheets>
  <definedNames>
    <definedName hidden="1" localSheetId="0" name="_xlnm._FilterDatabase">GLOWUP.csv!$A$1:$N$1128</definedName>
  </definedNames>
  <calcPr/>
  <pivotCaches>
    <pivotCache cacheId="0" r:id="rId6"/>
  </pivotCaches>
  <extLst>
    <ext uri="GoogleSheetsCustomDataVersion2">
      <go:sheetsCustomData xmlns:go="http://customooxmlschemas.google.com/" r:id="rId7" roundtripDataChecksum="M+ZLjIYCfjCBO3YTLoxa0LuE1xRVVVw6XXR2BfX8I+U="/>
    </ext>
  </extLst>
</workbook>
</file>

<file path=xl/sharedStrings.xml><?xml version="1.0" encoding="utf-8"?>
<sst xmlns="http://schemas.openxmlformats.org/spreadsheetml/2006/main" count="4669" uniqueCount="1175">
  <si>
    <t>CampaignID</t>
  </si>
  <si>
    <t>CampaignName</t>
  </si>
  <si>
    <t>StartDate</t>
  </si>
  <si>
    <t>EndDate</t>
  </si>
  <si>
    <t>Channel</t>
  </si>
  <si>
    <t>Spend</t>
  </si>
  <si>
    <t>LeadsGenerated</t>
  </si>
  <si>
    <t>Conversions</t>
  </si>
  <si>
    <t>RevenueGenerated</t>
  </si>
  <si>
    <t>Clicks</t>
  </si>
  <si>
    <t>Impressions</t>
  </si>
  <si>
    <t>Date</t>
  </si>
  <si>
    <t>ROI</t>
  </si>
  <si>
    <t>CPA</t>
  </si>
  <si>
    <t>CMP1000</t>
  </si>
  <si>
    <t>Winter Glow</t>
  </si>
  <si>
    <t>Social Media</t>
  </si>
  <si>
    <t>Valid</t>
  </si>
  <si>
    <t>CMP1001</t>
  </si>
  <si>
    <t>Referral</t>
  </si>
  <si>
    <t>Total Revenue</t>
  </si>
  <si>
    <t>Total Spend</t>
  </si>
  <si>
    <t>Avg ROI</t>
  </si>
  <si>
    <t>Total Records</t>
  </si>
  <si>
    <t>CMP1002</t>
  </si>
  <si>
    <t>Monsoon Care</t>
  </si>
  <si>
    <t>Email</t>
  </si>
  <si>
    <t>CMP1003</t>
  </si>
  <si>
    <t>Summer Glow</t>
  </si>
  <si>
    <t>CMP1004</t>
  </si>
  <si>
    <t>Valentine</t>
  </si>
  <si>
    <t>total leads</t>
  </si>
  <si>
    <t>total conversions</t>
  </si>
  <si>
    <t>avg CPA</t>
  </si>
  <si>
    <t>CMP1005</t>
  </si>
  <si>
    <t>Influencer</t>
  </si>
  <si>
    <t>CMP1008</t>
  </si>
  <si>
    <t>CMP1010</t>
  </si>
  <si>
    <t>Black Friday</t>
  </si>
  <si>
    <t>CMP1011</t>
  </si>
  <si>
    <t>CMP1012</t>
  </si>
  <si>
    <t>CMP1013</t>
  </si>
  <si>
    <t>CMP1014</t>
  </si>
  <si>
    <t>CMP1015</t>
  </si>
  <si>
    <t>CMP1016</t>
  </si>
  <si>
    <t>CMP1018</t>
  </si>
  <si>
    <t>CMP1022</t>
  </si>
  <si>
    <t>Luxury</t>
  </si>
  <si>
    <t>CMP1023</t>
  </si>
  <si>
    <t>CMP1024</t>
  </si>
  <si>
    <t>CMP1025</t>
  </si>
  <si>
    <t>CMP1026</t>
  </si>
  <si>
    <t>Festive Beauty</t>
  </si>
  <si>
    <t>CMP1027</t>
  </si>
  <si>
    <t>CMP1028</t>
  </si>
  <si>
    <t>CMP1029</t>
  </si>
  <si>
    <t>New Launch</t>
  </si>
  <si>
    <t>CMP1030</t>
  </si>
  <si>
    <t>Student</t>
  </si>
  <si>
    <t>CMP1031</t>
  </si>
  <si>
    <t>CMP1033</t>
  </si>
  <si>
    <t>CMP1034</t>
  </si>
  <si>
    <t>Salon Expo</t>
  </si>
  <si>
    <t>CMP1035</t>
  </si>
  <si>
    <t>CMP1036</t>
  </si>
  <si>
    <t>CMP1038</t>
  </si>
  <si>
    <t>CMP1039</t>
  </si>
  <si>
    <t>CMP1041</t>
  </si>
  <si>
    <t>CMP1042</t>
  </si>
  <si>
    <t>CMP1043</t>
  </si>
  <si>
    <t>CMP1044</t>
  </si>
  <si>
    <t>CMP1046</t>
  </si>
  <si>
    <t>CMP1047</t>
  </si>
  <si>
    <t>CMP1048</t>
  </si>
  <si>
    <t>CMP1050</t>
  </si>
  <si>
    <t>Flash Sale</t>
  </si>
  <si>
    <t>CMP1055</t>
  </si>
  <si>
    <t>CMP1057</t>
  </si>
  <si>
    <t>CMP1059</t>
  </si>
  <si>
    <t>CMP1060</t>
  </si>
  <si>
    <t>CMP1061</t>
  </si>
  <si>
    <t>CMP1062</t>
  </si>
  <si>
    <t>CMP1065</t>
  </si>
  <si>
    <t>CMP1067</t>
  </si>
  <si>
    <t>CMP1068</t>
  </si>
  <si>
    <t>CMP1069</t>
  </si>
  <si>
    <t>CMP1070</t>
  </si>
  <si>
    <t>Revenue</t>
  </si>
  <si>
    <t>CMP1071</t>
  </si>
  <si>
    <t>CMP1072</t>
  </si>
  <si>
    <t>CMP1073</t>
  </si>
  <si>
    <t>CMP1074</t>
  </si>
  <si>
    <t>CMP1075</t>
  </si>
  <si>
    <t>CMP1076</t>
  </si>
  <si>
    <t>CMP1077</t>
  </si>
  <si>
    <t>CMP1078</t>
  </si>
  <si>
    <t>CMP1079</t>
  </si>
  <si>
    <t>CMP1080</t>
  </si>
  <si>
    <t>CMP1081</t>
  </si>
  <si>
    <t>CMP1083</t>
  </si>
  <si>
    <t>CMP1084</t>
  </si>
  <si>
    <t>CMP1085</t>
  </si>
  <si>
    <t>CMP1086</t>
  </si>
  <si>
    <t>CMP1087</t>
  </si>
  <si>
    <t>CMP1088</t>
  </si>
  <si>
    <t>CMP1089</t>
  </si>
  <si>
    <t>CMP1090</t>
  </si>
  <si>
    <t>CMP1092</t>
  </si>
  <si>
    <t>CMP1093</t>
  </si>
  <si>
    <t>CMP1094</t>
  </si>
  <si>
    <t>CMP1095</t>
  </si>
  <si>
    <t>CMP1096</t>
  </si>
  <si>
    <t>CMP1097</t>
  </si>
  <si>
    <t>CMP1098</t>
  </si>
  <si>
    <t>CMP1099</t>
  </si>
  <si>
    <t>CMP1101</t>
  </si>
  <si>
    <t>CMP1102</t>
  </si>
  <si>
    <t>CMP1103</t>
  </si>
  <si>
    <t>CMP1104</t>
  </si>
  <si>
    <t xml:space="preserve"> Leads</t>
  </si>
  <si>
    <t>CMP1106</t>
  </si>
  <si>
    <t>CMP1108</t>
  </si>
  <si>
    <t>CMP1109</t>
  </si>
  <si>
    <t>CMP1110</t>
  </si>
  <si>
    <t>CMP1111</t>
  </si>
  <si>
    <t>CMP1112</t>
  </si>
  <si>
    <t>CMP1114</t>
  </si>
  <si>
    <t>CMP1117</t>
  </si>
  <si>
    <t>CMP1118</t>
  </si>
  <si>
    <t>CMP1119</t>
  </si>
  <si>
    <t>CMP1120</t>
  </si>
  <si>
    <t>CMP1121</t>
  </si>
  <si>
    <t>CMP1122</t>
  </si>
  <si>
    <t>CMP1124</t>
  </si>
  <si>
    <t>CMP1125</t>
  </si>
  <si>
    <t>CMP1126</t>
  </si>
  <si>
    <t>CMP1127</t>
  </si>
  <si>
    <t>CMP1128</t>
  </si>
  <si>
    <t>CMP1129</t>
  </si>
  <si>
    <t>CMP1130</t>
  </si>
  <si>
    <t>CMP1131</t>
  </si>
  <si>
    <t>CMP1132</t>
  </si>
  <si>
    <t>CMP1133</t>
  </si>
  <si>
    <t>CMP1135</t>
  </si>
  <si>
    <t>CMP1136</t>
  </si>
  <si>
    <t>CMP1137</t>
  </si>
  <si>
    <t>CMP1138</t>
  </si>
  <si>
    <t>CMP1139</t>
  </si>
  <si>
    <t>CMP1140</t>
  </si>
  <si>
    <t>CMP1141</t>
  </si>
  <si>
    <t>CMP1142</t>
  </si>
  <si>
    <t>CMP1143</t>
  </si>
  <si>
    <t>CMP1144</t>
  </si>
  <si>
    <t>CMP1145</t>
  </si>
  <si>
    <t>CMP1146</t>
  </si>
  <si>
    <t>CMP1148</t>
  </si>
  <si>
    <t>CMP1149</t>
  </si>
  <si>
    <t>CMP1150</t>
  </si>
  <si>
    <t>CMP1151</t>
  </si>
  <si>
    <t>CMP1152</t>
  </si>
  <si>
    <t>CMP1153</t>
  </si>
  <si>
    <t>CMP1154</t>
  </si>
  <si>
    <t>CMP1156</t>
  </si>
  <si>
    <t>CMP1157</t>
  </si>
  <si>
    <t>CMP1158</t>
  </si>
  <si>
    <t>CMP1159</t>
  </si>
  <si>
    <t>CMP1162</t>
  </si>
  <si>
    <t>CMP1165</t>
  </si>
  <si>
    <t>CMP1166</t>
  </si>
  <si>
    <t>CMP1167</t>
  </si>
  <si>
    <t>CMP1169</t>
  </si>
  <si>
    <t>CMP1171</t>
  </si>
  <si>
    <t>CMP1172</t>
  </si>
  <si>
    <t>CMP1173</t>
  </si>
  <si>
    <t>CMP1174</t>
  </si>
  <si>
    <t>CMP1175</t>
  </si>
  <si>
    <t>CMP1176</t>
  </si>
  <si>
    <t>CMP1177</t>
  </si>
  <si>
    <t>CMP1178</t>
  </si>
  <si>
    <t>CMP1179</t>
  </si>
  <si>
    <t>CMP1180</t>
  </si>
  <si>
    <t>CMP1181</t>
  </si>
  <si>
    <t>CMP1182</t>
  </si>
  <si>
    <t>CMP1186</t>
  </si>
  <si>
    <t>CMP1187</t>
  </si>
  <si>
    <t>CMP1188</t>
  </si>
  <si>
    <t>CMP1189</t>
  </si>
  <si>
    <t>CMP1190</t>
  </si>
  <si>
    <t>CMP1192</t>
  </si>
  <si>
    <t>CMP1194</t>
  </si>
  <si>
    <t>CMP1196</t>
  </si>
  <si>
    <t>CMP1197</t>
  </si>
  <si>
    <t>CMP1198</t>
  </si>
  <si>
    <t>CMP1199</t>
  </si>
  <si>
    <t>CMP1201</t>
  </si>
  <si>
    <t>CMP1202</t>
  </si>
  <si>
    <t>CMP1203</t>
  </si>
  <si>
    <t>CMP1204</t>
  </si>
  <si>
    <t>CMP1205</t>
  </si>
  <si>
    <t>CMP1206</t>
  </si>
  <si>
    <t>CMP1207</t>
  </si>
  <si>
    <t>CMP1208</t>
  </si>
  <si>
    <t>CMP1209</t>
  </si>
  <si>
    <t>Grand Total</t>
  </si>
  <si>
    <t>CMP1210</t>
  </si>
  <si>
    <t>CMP1211</t>
  </si>
  <si>
    <t>CMP1212</t>
  </si>
  <si>
    <t>CMP1214</t>
  </si>
  <si>
    <t>CMP1216</t>
  </si>
  <si>
    <t>CMP1217</t>
  </si>
  <si>
    <t>CMP1218</t>
  </si>
  <si>
    <t>CMP1220</t>
  </si>
  <si>
    <t>CMP1221</t>
  </si>
  <si>
    <t>CMP1222</t>
  </si>
  <si>
    <t>CMP1223</t>
  </si>
  <si>
    <t>CMP1224</t>
  </si>
  <si>
    <t>CMP1225</t>
  </si>
  <si>
    <t>CMP1226</t>
  </si>
  <si>
    <t>CMP1227</t>
  </si>
  <si>
    <t>CMP1228</t>
  </si>
  <si>
    <t>CMP1230</t>
  </si>
  <si>
    <t>CMP1231</t>
  </si>
  <si>
    <t>CMP1233</t>
  </si>
  <si>
    <t>CMP1234</t>
  </si>
  <si>
    <t>CMP1235</t>
  </si>
  <si>
    <t>CMP1236</t>
  </si>
  <si>
    <t>CMP1237</t>
  </si>
  <si>
    <t>CMP1238</t>
  </si>
  <si>
    <t>CMP1240</t>
  </si>
  <si>
    <t>CMP1242</t>
  </si>
  <si>
    <t>CMP1243</t>
  </si>
  <si>
    <t>CMP1244</t>
  </si>
  <si>
    <t>CMP1245</t>
  </si>
  <si>
    <t>CMP1248</t>
  </si>
  <si>
    <t>CMP1249</t>
  </si>
  <si>
    <t>CMP1251</t>
  </si>
  <si>
    <t>CMP1252</t>
  </si>
  <si>
    <t>Leads</t>
  </si>
  <si>
    <t>CMP1255</t>
  </si>
  <si>
    <t>CMP1256</t>
  </si>
  <si>
    <t>CMP1257</t>
  </si>
  <si>
    <t>CMP1258</t>
  </si>
  <si>
    <t>CMP1261</t>
  </si>
  <si>
    <t>CMP1262</t>
  </si>
  <si>
    <t>CMP1263</t>
  </si>
  <si>
    <t>CMP1264</t>
  </si>
  <si>
    <t>CMP1266</t>
  </si>
  <si>
    <t>CMP1267</t>
  </si>
  <si>
    <t>CMP1269</t>
  </si>
  <si>
    <t>CMP1270</t>
  </si>
  <si>
    <t>CMP1272</t>
  </si>
  <si>
    <t>CMP1273</t>
  </si>
  <si>
    <t>CMP1274</t>
  </si>
  <si>
    <t>CMP1275</t>
  </si>
  <si>
    <t>CMP1276</t>
  </si>
  <si>
    <t>CMP1277</t>
  </si>
  <si>
    <t>CMP1278</t>
  </si>
  <si>
    <t>CMP1279</t>
  </si>
  <si>
    <t>CMP1280</t>
  </si>
  <si>
    <t>CMP1281</t>
  </si>
  <si>
    <t>CMP1282</t>
  </si>
  <si>
    <t>SUM of RevenueGenerated</t>
  </si>
  <si>
    <t>CMP1284</t>
  </si>
  <si>
    <t>CMP1285</t>
  </si>
  <si>
    <t>CMP1286</t>
  </si>
  <si>
    <t>CMP1287</t>
  </si>
  <si>
    <t>CMP1288</t>
  </si>
  <si>
    <t>CMP1290</t>
  </si>
  <si>
    <t>CMP1291</t>
  </si>
  <si>
    <t>CMP1292</t>
  </si>
  <si>
    <t>CMP1293</t>
  </si>
  <si>
    <t>CMP1294</t>
  </si>
  <si>
    <t>CMP1295</t>
  </si>
  <si>
    <t>CMP1296</t>
  </si>
  <si>
    <t>CMP1297</t>
  </si>
  <si>
    <t>CMP1299</t>
  </si>
  <si>
    <t>CMP1301</t>
  </si>
  <si>
    <t>CMP1303</t>
  </si>
  <si>
    <t>CMP1304</t>
  </si>
  <si>
    <t>CMP1306</t>
  </si>
  <si>
    <t>CMP1307</t>
  </si>
  <si>
    <t>CMP1308</t>
  </si>
  <si>
    <t>CMP1309</t>
  </si>
  <si>
    <t>CMP1310</t>
  </si>
  <si>
    <t>CMP1311</t>
  </si>
  <si>
    <t>CMP1312</t>
  </si>
  <si>
    <t>CMP1313</t>
  </si>
  <si>
    <t>CMP1314</t>
  </si>
  <si>
    <t>CMP1315</t>
  </si>
  <si>
    <t>CMP1316</t>
  </si>
  <si>
    <t>CMP1317</t>
  </si>
  <si>
    <t>CMP1318</t>
  </si>
  <si>
    <t>CMP1319</t>
  </si>
  <si>
    <t>CMP1320</t>
  </si>
  <si>
    <t>CMP1321</t>
  </si>
  <si>
    <t>CMP1322</t>
  </si>
  <si>
    <t>CMP1323</t>
  </si>
  <si>
    <t>CMP1324</t>
  </si>
  <si>
    <t>CMP1326</t>
  </si>
  <si>
    <t>CMP1329</t>
  </si>
  <si>
    <t>CMP1330</t>
  </si>
  <si>
    <t>CMP1333</t>
  </si>
  <si>
    <t>CMP1334</t>
  </si>
  <si>
    <t>CMP1337</t>
  </si>
  <si>
    <t>CMP1339</t>
  </si>
  <si>
    <t>CMP1340</t>
  </si>
  <si>
    <t>CMP1341</t>
  </si>
  <si>
    <t>CMP1343</t>
  </si>
  <si>
    <t>CMP1344</t>
  </si>
  <si>
    <t>CMP1345</t>
  </si>
  <si>
    <t>CMP1347</t>
  </si>
  <si>
    <t>CMP1348</t>
  </si>
  <si>
    <t>CMP1351</t>
  </si>
  <si>
    <t>CMP1352</t>
  </si>
  <si>
    <t>CMP1353</t>
  </si>
  <si>
    <t>CMP1354</t>
  </si>
  <si>
    <t>CMP1356</t>
  </si>
  <si>
    <t>CMP1357</t>
  </si>
  <si>
    <t>CMP1359</t>
  </si>
  <si>
    <t>CMP1361</t>
  </si>
  <si>
    <t>CMP1362</t>
  </si>
  <si>
    <t>CMP1363</t>
  </si>
  <si>
    <t>CMP1364</t>
  </si>
  <si>
    <t>CMP1365</t>
  </si>
  <si>
    <t>CMP1366</t>
  </si>
  <si>
    <t>CMP1367</t>
  </si>
  <si>
    <t>CMP1368</t>
  </si>
  <si>
    <t>CMP1369</t>
  </si>
  <si>
    <t>CMP1373</t>
  </si>
  <si>
    <t>CMP1374</t>
  </si>
  <si>
    <t>CMP1375</t>
  </si>
  <si>
    <t>CMP1376</t>
  </si>
  <si>
    <t>CMP1377</t>
  </si>
  <si>
    <t>CMP1378</t>
  </si>
  <si>
    <t>CMP1379</t>
  </si>
  <si>
    <t>CMP1380</t>
  </si>
  <si>
    <t>CMP1381</t>
  </si>
  <si>
    <t>CMP1382</t>
  </si>
  <si>
    <t>CMP1384</t>
  </si>
  <si>
    <t>CMP1385</t>
  </si>
  <si>
    <t>CMP1386</t>
  </si>
  <si>
    <t>SUM of ROI</t>
  </si>
  <si>
    <t>CMP1388</t>
  </si>
  <si>
    <t>CMP1391</t>
  </si>
  <si>
    <t>CMP1393</t>
  </si>
  <si>
    <t>CMP1394</t>
  </si>
  <si>
    <t>CMP1395</t>
  </si>
  <si>
    <t>CMP1396</t>
  </si>
  <si>
    <t>CMP1397</t>
  </si>
  <si>
    <t>CMP1398</t>
  </si>
  <si>
    <t>CMP1399</t>
  </si>
  <si>
    <t>CMP1400</t>
  </si>
  <si>
    <t>CMP1401</t>
  </si>
  <si>
    <t>CMP1402</t>
  </si>
  <si>
    <t>CMP1403</t>
  </si>
  <si>
    <t>CMP1404</t>
  </si>
  <si>
    <t>CMP1405</t>
  </si>
  <si>
    <t>CMP1406</t>
  </si>
  <si>
    <t>CMP1407</t>
  </si>
  <si>
    <t>CMP1408</t>
  </si>
  <si>
    <t>CMP1409</t>
  </si>
  <si>
    <t>CMP1410</t>
  </si>
  <si>
    <t>CMP1411</t>
  </si>
  <si>
    <t>CMP1412</t>
  </si>
  <si>
    <t>CMP1413</t>
  </si>
  <si>
    <t>CMP1414</t>
  </si>
  <si>
    <t>CMP1416</t>
  </si>
  <si>
    <t>CMP1417</t>
  </si>
  <si>
    <t>CMP1418</t>
  </si>
  <si>
    <t>CMP1420</t>
  </si>
  <si>
    <t>CMP1421</t>
  </si>
  <si>
    <t>CMP1422</t>
  </si>
  <si>
    <t>CMP1423</t>
  </si>
  <si>
    <t>CMP1424</t>
  </si>
  <si>
    <t>CMP1425</t>
  </si>
  <si>
    <t>CMP1428</t>
  </si>
  <si>
    <t>CMP1429</t>
  </si>
  <si>
    <t>CMP1430</t>
  </si>
  <si>
    <t>CMP1432</t>
  </si>
  <si>
    <t>CMP1433</t>
  </si>
  <si>
    <t>CMP1434</t>
  </si>
  <si>
    <t>CMP1435</t>
  </si>
  <si>
    <t>CMP1436</t>
  </si>
  <si>
    <t>CMP1437</t>
  </si>
  <si>
    <t>CMP1439</t>
  </si>
  <si>
    <t>CMP1440</t>
  </si>
  <si>
    <t>CMP1441</t>
  </si>
  <si>
    <t>CMP1442</t>
  </si>
  <si>
    <t>CMP1443</t>
  </si>
  <si>
    <t>CMP1445</t>
  </si>
  <si>
    <t>CMP1448</t>
  </si>
  <si>
    <t>CMP1449</t>
  </si>
  <si>
    <t>CMP1450</t>
  </si>
  <si>
    <t>CMP1451</t>
  </si>
  <si>
    <t>CMP1454</t>
  </si>
  <si>
    <t>CMP1455</t>
  </si>
  <si>
    <t>CMP1459</t>
  </si>
  <si>
    <t>CMP1460</t>
  </si>
  <si>
    <t>CMP1461</t>
  </si>
  <si>
    <t>CMP1463</t>
  </si>
  <si>
    <t>CMP1465</t>
  </si>
  <si>
    <t>CMP1466</t>
  </si>
  <si>
    <t>CMP1467</t>
  </si>
  <si>
    <t>CMP1469</t>
  </si>
  <si>
    <t>SUM of Conversions</t>
  </si>
  <si>
    <t>CMP1470</t>
  </si>
  <si>
    <t>CMP1471</t>
  </si>
  <si>
    <t>CMP1474</t>
  </si>
  <si>
    <t>CMP1475</t>
  </si>
  <si>
    <t>CMP1476</t>
  </si>
  <si>
    <t>CMP1477</t>
  </si>
  <si>
    <t>CMP1479</t>
  </si>
  <si>
    <t>CMP1481</t>
  </si>
  <si>
    <t>CMP1482</t>
  </si>
  <si>
    <t>CMP1483</t>
  </si>
  <si>
    <t>CMP1485</t>
  </si>
  <si>
    <t>CMP1486</t>
  </si>
  <si>
    <t>CMP1488</t>
  </si>
  <si>
    <t>CMP1489</t>
  </si>
  <si>
    <t>CMP1490</t>
  </si>
  <si>
    <t>CMP1491</t>
  </si>
  <si>
    <t>CMP1492</t>
  </si>
  <si>
    <t>CMP1493</t>
  </si>
  <si>
    <t>CMP1495</t>
  </si>
  <si>
    <t>CMP1497</t>
  </si>
  <si>
    <t>CMP1498</t>
  </si>
  <si>
    <t>CMP1499</t>
  </si>
  <si>
    <t>CMP1500</t>
  </si>
  <si>
    <t>CMP1501</t>
  </si>
  <si>
    <t>CMP1502</t>
  </si>
  <si>
    <t>CMP1503</t>
  </si>
  <si>
    <t>CMP1504</t>
  </si>
  <si>
    <t>CMP1506</t>
  </si>
  <si>
    <t>CMP1508</t>
  </si>
  <si>
    <t>CMP1509</t>
  </si>
  <si>
    <t>CMP1510</t>
  </si>
  <si>
    <t>CMP1511</t>
  </si>
  <si>
    <t>CMP1512</t>
  </si>
  <si>
    <t>CMP1514</t>
  </si>
  <si>
    <t>CMP1515</t>
  </si>
  <si>
    <t>CMP1516</t>
  </si>
  <si>
    <t>CMP1517</t>
  </si>
  <si>
    <t>CMP1518</t>
  </si>
  <si>
    <t>CMP1519</t>
  </si>
  <si>
    <t>CMP1521</t>
  </si>
  <si>
    <t>CMP1522</t>
  </si>
  <si>
    <t>CMP1523</t>
  </si>
  <si>
    <t>CMP1524</t>
  </si>
  <si>
    <t>CMP1525</t>
  </si>
  <si>
    <t>CMP1526</t>
  </si>
  <si>
    <t>CMP1528</t>
  </si>
  <si>
    <t>CMP1529</t>
  </si>
  <si>
    <t>CMP1530</t>
  </si>
  <si>
    <t>CMP1531</t>
  </si>
  <si>
    <t>CMP1532</t>
  </si>
  <si>
    <t>CMP1533</t>
  </si>
  <si>
    <t>CMP1535</t>
  </si>
  <si>
    <t>CMP1536</t>
  </si>
  <si>
    <t>CMP1537</t>
  </si>
  <si>
    <t>CMP1539</t>
  </si>
  <si>
    <t>CMP1540</t>
  </si>
  <si>
    <t>CMP1541</t>
  </si>
  <si>
    <t>CMP1546</t>
  </si>
  <si>
    <t>CMP1550</t>
  </si>
  <si>
    <t>CMP1551</t>
  </si>
  <si>
    <t>CMP1555</t>
  </si>
  <si>
    <t>CMP1556</t>
  </si>
  <si>
    <t>Avg CPA</t>
  </si>
  <si>
    <t>CMP1557</t>
  </si>
  <si>
    <t>CMP1558</t>
  </si>
  <si>
    <t>CMP1559</t>
  </si>
  <si>
    <t>CMP1560</t>
  </si>
  <si>
    <t>CMP1561</t>
  </si>
  <si>
    <t>CMP1562</t>
  </si>
  <si>
    <t>CMP1563</t>
  </si>
  <si>
    <t>CMP1564</t>
  </si>
  <si>
    <t>CMP1565</t>
  </si>
  <si>
    <t>CMP1566</t>
  </si>
  <si>
    <t>CMP1568</t>
  </si>
  <si>
    <t>CMP1570</t>
  </si>
  <si>
    <t>CMP1572</t>
  </si>
  <si>
    <t>CMP1573</t>
  </si>
  <si>
    <t>CMP1574</t>
  </si>
  <si>
    <t>CMP1575</t>
  </si>
  <si>
    <t>CMP1576</t>
  </si>
  <si>
    <t>CMP1577</t>
  </si>
  <si>
    <t>CMP1578</t>
  </si>
  <si>
    <t>CMP1580</t>
  </si>
  <si>
    <t>CMP1582</t>
  </si>
  <si>
    <t>CMP1583</t>
  </si>
  <si>
    <t>CMP1584</t>
  </si>
  <si>
    <t>CMP1585</t>
  </si>
  <si>
    <t>CMP1588</t>
  </si>
  <si>
    <t>CMP1589</t>
  </si>
  <si>
    <t>CMP1591</t>
  </si>
  <si>
    <t>CMP1592</t>
  </si>
  <si>
    <t>CMP1594</t>
  </si>
  <si>
    <t>CMP1595</t>
  </si>
  <si>
    <t>CMP1597</t>
  </si>
  <si>
    <t>CMP1599</t>
  </si>
  <si>
    <t>CMP1600</t>
  </si>
  <si>
    <t>CMP1601</t>
  </si>
  <si>
    <t>CMP1602</t>
  </si>
  <si>
    <t>CMP1604</t>
  </si>
  <si>
    <t>CMP1605</t>
  </si>
  <si>
    <t>CMP1606</t>
  </si>
  <si>
    <t>CMP1608</t>
  </si>
  <si>
    <t>CMP1609</t>
  </si>
  <si>
    <t>CMP1610</t>
  </si>
  <si>
    <t>CMP1611</t>
  </si>
  <si>
    <t>CMP1612</t>
  </si>
  <si>
    <t>CMP1613</t>
  </si>
  <si>
    <t>CMP1614</t>
  </si>
  <si>
    <t>CMP1616</t>
  </si>
  <si>
    <t>CMP1617</t>
  </si>
  <si>
    <t>CMP1618</t>
  </si>
  <si>
    <t>CMP1619</t>
  </si>
  <si>
    <t>CMP1620</t>
  </si>
  <si>
    <t>CMP1621</t>
  </si>
  <si>
    <t>CMP1622</t>
  </si>
  <si>
    <t>CMP1623</t>
  </si>
  <si>
    <t>CMP1624</t>
  </si>
  <si>
    <t>CMP1625</t>
  </si>
  <si>
    <t>CMP1626</t>
  </si>
  <si>
    <t>CTR</t>
  </si>
  <si>
    <t>CMP1627</t>
  </si>
  <si>
    <t>LEAD RATE</t>
  </si>
  <si>
    <t>CONVERSION RATE</t>
  </si>
  <si>
    <t>CVR</t>
  </si>
  <si>
    <t>CMP1628</t>
  </si>
  <si>
    <t>CMP1629</t>
  </si>
  <si>
    <t>CMP1632</t>
  </si>
  <si>
    <t>CMP1634</t>
  </si>
  <si>
    <t>CMP1635</t>
  </si>
  <si>
    <t>CMP1636</t>
  </si>
  <si>
    <t>CMP1639</t>
  </si>
  <si>
    <t>CMP1640</t>
  </si>
  <si>
    <t>CMP1644</t>
  </si>
  <si>
    <t>CMP1647</t>
  </si>
  <si>
    <t>CMP1648</t>
  </si>
  <si>
    <t>CMP1649</t>
  </si>
  <si>
    <t>CMP1650</t>
  </si>
  <si>
    <t>CMP1651</t>
  </si>
  <si>
    <t>CMP1652</t>
  </si>
  <si>
    <t>CMP1653</t>
  </si>
  <si>
    <t>CMP1654</t>
  </si>
  <si>
    <t>CMP1655</t>
  </si>
  <si>
    <t>CMP1656</t>
  </si>
  <si>
    <t>CMP1657</t>
  </si>
  <si>
    <t>CMP1659</t>
  </si>
  <si>
    <t>CMP1660</t>
  </si>
  <si>
    <t>CMP1661</t>
  </si>
  <si>
    <t>CMP1662</t>
  </si>
  <si>
    <t>CMP1664</t>
  </si>
  <si>
    <t>CMP1665</t>
  </si>
  <si>
    <t>CMP1666</t>
  </si>
  <si>
    <t>CMP1667</t>
  </si>
  <si>
    <t>CMP1669</t>
  </si>
  <si>
    <t>CMP1670</t>
  </si>
  <si>
    <t>CMP1671</t>
  </si>
  <si>
    <t>CMP1672</t>
  </si>
  <si>
    <t>CMP1673</t>
  </si>
  <si>
    <t>CMP1674</t>
  </si>
  <si>
    <t>CMP1676</t>
  </si>
  <si>
    <t>CMP1677</t>
  </si>
  <si>
    <t>CMP1679</t>
  </si>
  <si>
    <t>CMP1680</t>
  </si>
  <si>
    <t>CMP1682</t>
  </si>
  <si>
    <t>CMP1683</t>
  </si>
  <si>
    <t>CMP1684</t>
  </si>
  <si>
    <t>CMP1685</t>
  </si>
  <si>
    <t>CMP1687</t>
  </si>
  <si>
    <t>CMP1688</t>
  </si>
  <si>
    <t>CMP1689</t>
  </si>
  <si>
    <t>CMP1690</t>
  </si>
  <si>
    <t>CMP1691</t>
  </si>
  <si>
    <t>CMP1693</t>
  </si>
  <si>
    <t>CMP1695</t>
  </si>
  <si>
    <t>CMP1697</t>
  </si>
  <si>
    <t>CMP1698</t>
  </si>
  <si>
    <t>CMP1699</t>
  </si>
  <si>
    <t>CMP1700</t>
  </si>
  <si>
    <t>CMP1702</t>
  </si>
  <si>
    <t>CMP1703</t>
  </si>
  <si>
    <t>CMP1704</t>
  </si>
  <si>
    <t>CMP1705</t>
  </si>
  <si>
    <t>CMP1706</t>
  </si>
  <si>
    <t>CMP1708</t>
  </si>
  <si>
    <t>CMP1709</t>
  </si>
  <si>
    <t>CMP1712</t>
  </si>
  <si>
    <t>CMP1713</t>
  </si>
  <si>
    <t>CMP1714</t>
  </si>
  <si>
    <t>CMP1715</t>
  </si>
  <si>
    <t>CMP1716</t>
  </si>
  <si>
    <t>CMP1719</t>
  </si>
  <si>
    <t>CMP1720</t>
  </si>
  <si>
    <t>CMP1721</t>
  </si>
  <si>
    <t>CMP1723</t>
  </si>
  <si>
    <t>CMP1725</t>
  </si>
  <si>
    <t>CMP1726</t>
  </si>
  <si>
    <t>CMP1728</t>
  </si>
  <si>
    <t>CMP1729</t>
  </si>
  <si>
    <t>CMP1732</t>
  </si>
  <si>
    <t>CMP1733</t>
  </si>
  <si>
    <t>CMP1736</t>
  </si>
  <si>
    <t>CMP1737</t>
  </si>
  <si>
    <t>CMP1738</t>
  </si>
  <si>
    <t>CMP1739</t>
  </si>
  <si>
    <t>CMP1740</t>
  </si>
  <si>
    <t>CMP1743</t>
  </si>
  <si>
    <t>CMP1745</t>
  </si>
  <si>
    <t>CMP1747</t>
  </si>
  <si>
    <t>CMP1748</t>
  </si>
  <si>
    <t>CMP1749</t>
  </si>
  <si>
    <t>CMP1750</t>
  </si>
  <si>
    <t>CMP1751</t>
  </si>
  <si>
    <t>CMP1752</t>
  </si>
  <si>
    <t>CMP1753</t>
  </si>
  <si>
    <t>CMP1755</t>
  </si>
  <si>
    <t>CMP1756</t>
  </si>
  <si>
    <t>CMP1757</t>
  </si>
  <si>
    <t>CMP1758</t>
  </si>
  <si>
    <t>CMP1761</t>
  </si>
  <si>
    <t>CMP1762</t>
  </si>
  <si>
    <t>CMP1763</t>
  </si>
  <si>
    <t>CMP1764</t>
  </si>
  <si>
    <t>CMP1766</t>
  </si>
  <si>
    <t>CMP1768</t>
  </si>
  <si>
    <t>CMP1769</t>
  </si>
  <si>
    <t>CMP1770</t>
  </si>
  <si>
    <t>CMP1771</t>
  </si>
  <si>
    <t>CMP1772</t>
  </si>
  <si>
    <t>CMP1773</t>
  </si>
  <si>
    <t>CMP1774</t>
  </si>
  <si>
    <t>CMP1776</t>
  </si>
  <si>
    <t>CMP1777</t>
  </si>
  <si>
    <t>CMP1780</t>
  </si>
  <si>
    <t>CMP1781</t>
  </si>
  <si>
    <t>CMP1784</t>
  </si>
  <si>
    <t>CMP1785</t>
  </si>
  <si>
    <t>CMP1786</t>
  </si>
  <si>
    <t>CMP1787</t>
  </si>
  <si>
    <t>CMP1788</t>
  </si>
  <si>
    <t>CMP1789</t>
  </si>
  <si>
    <t>CMP1791</t>
  </si>
  <si>
    <t>CMP1792</t>
  </si>
  <si>
    <t>CMP1794</t>
  </si>
  <si>
    <t>CMP1795</t>
  </si>
  <si>
    <t>CMP1796</t>
  </si>
  <si>
    <t>CMP1797</t>
  </si>
  <si>
    <t>CMP1798</t>
  </si>
  <si>
    <t>CMP1799</t>
  </si>
  <si>
    <t>CMP1800</t>
  </si>
  <si>
    <t>CMP1801</t>
  </si>
  <si>
    <t>CMP1803</t>
  </si>
  <si>
    <t>CMP1805</t>
  </si>
  <si>
    <t>CMP1806</t>
  </si>
  <si>
    <t>CMP1807</t>
  </si>
  <si>
    <t>CMP1809</t>
  </si>
  <si>
    <t>CMP1810</t>
  </si>
  <si>
    <t>CMP1811</t>
  </si>
  <si>
    <t>CMP1812</t>
  </si>
  <si>
    <t>CMP1813</t>
  </si>
  <si>
    <t>CMP1814</t>
  </si>
  <si>
    <t>CMP1815</t>
  </si>
  <si>
    <t>CMP1816</t>
  </si>
  <si>
    <t xml:space="preserve"> Spend</t>
  </si>
  <si>
    <t>CMP1817</t>
  </si>
  <si>
    <t>CMP1818</t>
  </si>
  <si>
    <t>CMP1819</t>
  </si>
  <si>
    <t>CMP1820</t>
  </si>
  <si>
    <t>CMP1823</t>
  </si>
  <si>
    <t>CMP1825</t>
  </si>
  <si>
    <t>CMP1826</t>
  </si>
  <si>
    <t>CMP1827</t>
  </si>
  <si>
    <t>CMP1828</t>
  </si>
  <si>
    <t>CMP1829</t>
  </si>
  <si>
    <t>CMP1830</t>
  </si>
  <si>
    <t>CMP1832</t>
  </si>
  <si>
    <t>CMP1833</t>
  </si>
  <si>
    <t>CMP1834</t>
  </si>
  <si>
    <t>CMP1835</t>
  </si>
  <si>
    <t>CMP1836</t>
  </si>
  <si>
    <t>CMP1837</t>
  </si>
  <si>
    <t>CMP1839</t>
  </si>
  <si>
    <t>CMP1840</t>
  </si>
  <si>
    <t>CMP1841</t>
  </si>
  <si>
    <t>CMP1842</t>
  </si>
  <si>
    <t>CMP1843</t>
  </si>
  <si>
    <t>CMP1844</t>
  </si>
  <si>
    <t>CMP1846</t>
  </si>
  <si>
    <t>CMP1847</t>
  </si>
  <si>
    <t>CMP1848</t>
  </si>
  <si>
    <t>CMP1849</t>
  </si>
  <si>
    <t>CMP1851</t>
  </si>
  <si>
    <t>CMP1853</t>
  </si>
  <si>
    <t>CMP1854</t>
  </si>
  <si>
    <t>CMP1855</t>
  </si>
  <si>
    <t>CMP1856</t>
  </si>
  <si>
    <t>CMP1857</t>
  </si>
  <si>
    <t>CMP1858</t>
  </si>
  <si>
    <t>CMP1861</t>
  </si>
  <si>
    <t>CMP1862</t>
  </si>
  <si>
    <t>CMP1863</t>
  </si>
  <si>
    <t>CMP1866</t>
  </si>
  <si>
    <t>CMP1868</t>
  </si>
  <si>
    <t>CMP1870</t>
  </si>
  <si>
    <t>CMP1871</t>
  </si>
  <si>
    <t>CMP1873</t>
  </si>
  <si>
    <t>CMP1875</t>
  </si>
  <si>
    <t>CMP1876</t>
  </si>
  <si>
    <t>CMP1877</t>
  </si>
  <si>
    <t>CMP1878</t>
  </si>
  <si>
    <t>CMP1879</t>
  </si>
  <si>
    <t>CMP1881</t>
  </si>
  <si>
    <t>CMP1882</t>
  </si>
  <si>
    <t>CMP1883</t>
  </si>
  <si>
    <t>CMP1884</t>
  </si>
  <si>
    <t>CMP1886</t>
  </si>
  <si>
    <t>CMP1887</t>
  </si>
  <si>
    <t>CMP1890</t>
  </si>
  <si>
    <t>CMP1892</t>
  </si>
  <si>
    <t>CMP1894</t>
  </si>
  <si>
    <t>CMP1895</t>
  </si>
  <si>
    <t>CMP1896</t>
  </si>
  <si>
    <t>CMP1897</t>
  </si>
  <si>
    <t>CMP1898</t>
  </si>
  <si>
    <t>CMP1899</t>
  </si>
  <si>
    <t>CMP1902</t>
  </si>
  <si>
    <t>CMP1903</t>
  </si>
  <si>
    <t>CMP1905</t>
  </si>
  <si>
    <t>CMP1906</t>
  </si>
  <si>
    <t>CMP1907</t>
  </si>
  <si>
    <t>CMP1908</t>
  </si>
  <si>
    <t>CMP1909</t>
  </si>
  <si>
    <t>CMP1910</t>
  </si>
  <si>
    <t>CMP1911</t>
  </si>
  <si>
    <t>CMP1912</t>
  </si>
  <si>
    <t>CMP1913</t>
  </si>
  <si>
    <t>CMP1914</t>
  </si>
  <si>
    <t>CMP1915</t>
  </si>
  <si>
    <t>CMP1916</t>
  </si>
  <si>
    <t>CMP1917</t>
  </si>
  <si>
    <t>CMP1919</t>
  </si>
  <si>
    <t>CMP1920</t>
  </si>
  <si>
    <t>CMP1922</t>
  </si>
  <si>
    <t>CMP1924</t>
  </si>
  <si>
    <t>CMP1925</t>
  </si>
  <si>
    <t>CMP1926</t>
  </si>
  <si>
    <t>CMP1927</t>
  </si>
  <si>
    <t>CMP1928</t>
  </si>
  <si>
    <t>CMP1929</t>
  </si>
  <si>
    <t>CMP1930</t>
  </si>
  <si>
    <t>CMP1931</t>
  </si>
  <si>
    <t>CMP1933</t>
  </si>
  <si>
    <t>CMP1934</t>
  </si>
  <si>
    <t>CMP1935</t>
  </si>
  <si>
    <t>CMP1936</t>
  </si>
  <si>
    <t>CMP1937</t>
  </si>
  <si>
    <t>CMP1940</t>
  </si>
  <si>
    <t>CMP1941</t>
  </si>
  <si>
    <t>CMP1942</t>
  </si>
  <si>
    <t>CMP1943</t>
  </si>
  <si>
    <t>CMP1945</t>
  </si>
  <si>
    <t>CMP1946</t>
  </si>
  <si>
    <t>CMP1947</t>
  </si>
  <si>
    <t>CMP1948</t>
  </si>
  <si>
    <t>CMP1949</t>
  </si>
  <si>
    <t>CMP1950</t>
  </si>
  <si>
    <t>CMP1952</t>
  </si>
  <si>
    <t>CMP1953</t>
  </si>
  <si>
    <t>CMP1954</t>
  </si>
  <si>
    <t>CMP1955</t>
  </si>
  <si>
    <t>CMP1957</t>
  </si>
  <si>
    <t>CMP1958</t>
  </si>
  <si>
    <t>CMP1959</t>
  </si>
  <si>
    <t>CMP1960</t>
  </si>
  <si>
    <t>CMP1961</t>
  </si>
  <si>
    <t>CMP1962</t>
  </si>
  <si>
    <t>CMP1963</t>
  </si>
  <si>
    <t>CMP1965</t>
  </si>
  <si>
    <t>CMP1966</t>
  </si>
  <si>
    <t>CMP1967</t>
  </si>
  <si>
    <t>CMP1969</t>
  </si>
  <si>
    <t>CMP1970</t>
  </si>
  <si>
    <t>CMP1971</t>
  </si>
  <si>
    <t>CMP1972</t>
  </si>
  <si>
    <t>CMP1974</t>
  </si>
  <si>
    <t>CMP1975</t>
  </si>
  <si>
    <t>CMP1976</t>
  </si>
  <si>
    <t>CMP1978</t>
  </si>
  <si>
    <t>CMP1980</t>
  </si>
  <si>
    <t>CMP1981</t>
  </si>
  <si>
    <t>CMP1982</t>
  </si>
  <si>
    <t>CMP1983</t>
  </si>
  <si>
    <t>CMP1984</t>
  </si>
  <si>
    <t>CMP1985</t>
  </si>
  <si>
    <t>CMP1986</t>
  </si>
  <si>
    <t>CMP1988</t>
  </si>
  <si>
    <t>CMP1989</t>
  </si>
  <si>
    <t>CMP1990</t>
  </si>
  <si>
    <t>CMP1991</t>
  </si>
  <si>
    <t>CMP1992</t>
  </si>
  <si>
    <t>CMP1993</t>
  </si>
  <si>
    <t>CMP1995</t>
  </si>
  <si>
    <t>CMP1997</t>
  </si>
  <si>
    <t>CMP1999</t>
  </si>
  <si>
    <t>CMP2000</t>
  </si>
  <si>
    <t>CMP2001</t>
  </si>
  <si>
    <t>CMP2002</t>
  </si>
  <si>
    <t>CMP2003</t>
  </si>
  <si>
    <t>CMP2004</t>
  </si>
  <si>
    <t>CMP2005</t>
  </si>
  <si>
    <t>CMP2006</t>
  </si>
  <si>
    <t>CMP2013</t>
  </si>
  <si>
    <t>CMP2015</t>
  </si>
  <si>
    <t>CMP2016</t>
  </si>
  <si>
    <t>CMP2017</t>
  </si>
  <si>
    <t>CMP2018</t>
  </si>
  <si>
    <t>CMP2019</t>
  </si>
  <si>
    <t>CMP2021</t>
  </si>
  <si>
    <t>CMP2022</t>
  </si>
  <si>
    <t>CMP2023</t>
  </si>
  <si>
    <t>CMP2027</t>
  </si>
  <si>
    <t>CMP2028</t>
  </si>
  <si>
    <t>CMP2029</t>
  </si>
  <si>
    <t>CMP2030</t>
  </si>
  <si>
    <t>CMP2032</t>
  </si>
  <si>
    <t>CMP2033</t>
  </si>
  <si>
    <t>CMP2034</t>
  </si>
  <si>
    <t>CMP2035</t>
  </si>
  <si>
    <t>CMP2037</t>
  </si>
  <si>
    <t>CMP2038</t>
  </si>
  <si>
    <t>CMP2039</t>
  </si>
  <si>
    <t>CMP2040</t>
  </si>
  <si>
    <t>CMP2041</t>
  </si>
  <si>
    <t>CMP2042</t>
  </si>
  <si>
    <t>CMP2043</t>
  </si>
  <si>
    <t>CMP2044</t>
  </si>
  <si>
    <t>CMP2045</t>
  </si>
  <si>
    <t>CMP2047</t>
  </si>
  <si>
    <t>CMP2048</t>
  </si>
  <si>
    <t>CMP2050</t>
  </si>
  <si>
    <t>CMP2051</t>
  </si>
  <si>
    <t>CMP2052</t>
  </si>
  <si>
    <t>CMP2053</t>
  </si>
  <si>
    <t>CMP2054</t>
  </si>
  <si>
    <t>CMP2055</t>
  </si>
  <si>
    <t>CMP2056</t>
  </si>
  <si>
    <t>CMP2057</t>
  </si>
  <si>
    <t>CMP2060</t>
  </si>
  <si>
    <t>CMP2061</t>
  </si>
  <si>
    <t>CMP2062</t>
  </si>
  <si>
    <t>CMP2064</t>
  </si>
  <si>
    <t>CMP2066</t>
  </si>
  <si>
    <t>CMP2072</t>
  </si>
  <si>
    <t>CMP2074</t>
  </si>
  <si>
    <t>CMP2075</t>
  </si>
  <si>
    <t>CMP2076</t>
  </si>
  <si>
    <t>CMP2077</t>
  </si>
  <si>
    <t>CMP2079</t>
  </si>
  <si>
    <t>CMP2080</t>
  </si>
  <si>
    <t>CMP2081</t>
  </si>
  <si>
    <t>CMP2082</t>
  </si>
  <si>
    <t>CMP2083</t>
  </si>
  <si>
    <t>CMP2084</t>
  </si>
  <si>
    <t>CMP2085</t>
  </si>
  <si>
    <t>CMP2086</t>
  </si>
  <si>
    <t>CMP2087</t>
  </si>
  <si>
    <t>CMP2088</t>
  </si>
  <si>
    <t>CMP2089</t>
  </si>
  <si>
    <t>CMP2090</t>
  </si>
  <si>
    <t>CMP2091</t>
  </si>
  <si>
    <t>CMP2092</t>
  </si>
  <si>
    <t>CMP2093</t>
  </si>
  <si>
    <t>CMP2094</t>
  </si>
  <si>
    <t>CMP2095</t>
  </si>
  <si>
    <t>CMP2097</t>
  </si>
  <si>
    <t>CMP2098</t>
  </si>
  <si>
    <t>CMP2099</t>
  </si>
  <si>
    <t>CMP2100</t>
  </si>
  <si>
    <t>CMP2101</t>
  </si>
  <si>
    <t>CMP2102</t>
  </si>
  <si>
    <t>CMP2104</t>
  </si>
  <si>
    <t>CMP2105</t>
  </si>
  <si>
    <t>CMP2106</t>
  </si>
  <si>
    <t>CMP2107</t>
  </si>
  <si>
    <t>CMP2108</t>
  </si>
  <si>
    <t>CMP2109</t>
  </si>
  <si>
    <t>CMP2110</t>
  </si>
  <si>
    <t>CMP2111</t>
  </si>
  <si>
    <t>CMP2112</t>
  </si>
  <si>
    <t>CMP2113</t>
  </si>
  <si>
    <t>CMP2114</t>
  </si>
  <si>
    <t>CMP2115</t>
  </si>
  <si>
    <t>CMP2116</t>
  </si>
  <si>
    <t>CMP2117</t>
  </si>
  <si>
    <t>CMP2118</t>
  </si>
  <si>
    <t>CMP2120</t>
  </si>
  <si>
    <t>CMP2121</t>
  </si>
  <si>
    <t>CMP2122</t>
  </si>
  <si>
    <t>CMP2123</t>
  </si>
  <si>
    <t>CMP2124</t>
  </si>
  <si>
    <t>CMP2125</t>
  </si>
  <si>
    <t>CMP2126</t>
  </si>
  <si>
    <t>CMP2127</t>
  </si>
  <si>
    <t>CMP2128</t>
  </si>
  <si>
    <t>CMP2129</t>
  </si>
  <si>
    <t>CMP2130</t>
  </si>
  <si>
    <t>CMP2131</t>
  </si>
  <si>
    <t>CMP2132</t>
  </si>
  <si>
    <t>CMP2133</t>
  </si>
  <si>
    <t>CMP2134</t>
  </si>
  <si>
    <t>CMP2135</t>
  </si>
  <si>
    <t>CMP2136</t>
  </si>
  <si>
    <t>CMP2137</t>
  </si>
  <si>
    <t>CMP2140</t>
  </si>
  <si>
    <t>CMP2141</t>
  </si>
  <si>
    <t>CMP2142</t>
  </si>
  <si>
    <t>CMP2144</t>
  </si>
  <si>
    <t>CMP2145</t>
  </si>
  <si>
    <t>CMP2146</t>
  </si>
  <si>
    <t>CMP2147</t>
  </si>
  <si>
    <t>CMP2148</t>
  </si>
  <si>
    <t>CMP2149</t>
  </si>
  <si>
    <t>CMP2150</t>
  </si>
  <si>
    <t>CMP2151</t>
  </si>
  <si>
    <t>CMP2153</t>
  </si>
  <si>
    <t>CMP2154</t>
  </si>
  <si>
    <t>CMP2155</t>
  </si>
  <si>
    <t>CMP2157</t>
  </si>
  <si>
    <t>CMP2159</t>
  </si>
  <si>
    <t>CMP2160</t>
  </si>
  <si>
    <t>CMP2163</t>
  </si>
  <si>
    <t>CMP2164</t>
  </si>
  <si>
    <t>CMP2165</t>
  </si>
  <si>
    <t>CMP2166</t>
  </si>
  <si>
    <t>CMP2168</t>
  </si>
  <si>
    <t>CMP2169</t>
  </si>
  <si>
    <t>CMP2170</t>
  </si>
  <si>
    <t>CMP2172</t>
  </si>
  <si>
    <t>CMP2173</t>
  </si>
  <si>
    <t>CMP2174</t>
  </si>
  <si>
    <t>CMP2175</t>
  </si>
  <si>
    <t>CMP2176</t>
  </si>
  <si>
    <t>CMP2177</t>
  </si>
  <si>
    <t>CMP2178</t>
  </si>
  <si>
    <t>CMP2179</t>
  </si>
  <si>
    <t>CMP2180</t>
  </si>
  <si>
    <t>CMP2181</t>
  </si>
  <si>
    <t>CMP2182</t>
  </si>
  <si>
    <t>CMP2183</t>
  </si>
  <si>
    <t>CMP2184</t>
  </si>
  <si>
    <t>CMP2185</t>
  </si>
  <si>
    <t>CMP2188</t>
  </si>
  <si>
    <t>CMP2189</t>
  </si>
  <si>
    <t>CMP2191</t>
  </si>
  <si>
    <t>CMP2192</t>
  </si>
  <si>
    <t>CMP2193</t>
  </si>
  <si>
    <t>CMP2194</t>
  </si>
  <si>
    <t>CMP2195</t>
  </si>
  <si>
    <t>CMP2196</t>
  </si>
  <si>
    <t>CMP2197</t>
  </si>
  <si>
    <t>CMP2198</t>
  </si>
  <si>
    <t>CMP2199</t>
  </si>
  <si>
    <t>CMP2203</t>
  </si>
  <si>
    <t>CMP2205</t>
  </si>
  <si>
    <t>CMP2206</t>
  </si>
  <si>
    <t>CMP2208</t>
  </si>
  <si>
    <t>CMP2209</t>
  </si>
  <si>
    <t>CMP2211</t>
  </si>
  <si>
    <t>CMP2213</t>
  </si>
  <si>
    <t>CMP2215</t>
  </si>
  <si>
    <t>CMP2216</t>
  </si>
  <si>
    <t>CMP2217</t>
  </si>
  <si>
    <t>CMP2218</t>
  </si>
  <si>
    <t>CMP2223</t>
  </si>
  <si>
    <t>CMP2224</t>
  </si>
  <si>
    <t>CMP2226</t>
  </si>
  <si>
    <t>CMP2227</t>
  </si>
  <si>
    <t>CMP2228</t>
  </si>
  <si>
    <t>CMP2229</t>
  </si>
  <si>
    <t>CMP2230</t>
  </si>
  <si>
    <t>CMP2231</t>
  </si>
  <si>
    <t>CMP2232</t>
  </si>
  <si>
    <t>CMP2233</t>
  </si>
  <si>
    <t>CMP2234</t>
  </si>
  <si>
    <t>CMP2235</t>
  </si>
  <si>
    <t>CMP2236</t>
  </si>
  <si>
    <t>CMP2237</t>
  </si>
  <si>
    <t>CMP2238</t>
  </si>
  <si>
    <t>CMP2239</t>
  </si>
  <si>
    <t>CMP2240</t>
  </si>
  <si>
    <t>CMP2241</t>
  </si>
  <si>
    <t>CMP2242</t>
  </si>
  <si>
    <t>CMP2245</t>
  </si>
  <si>
    <t>CMP2246</t>
  </si>
  <si>
    <t>CMP2247</t>
  </si>
  <si>
    <t>CMP2248</t>
  </si>
  <si>
    <t>CMP2249</t>
  </si>
  <si>
    <t>CMP2251</t>
  </si>
  <si>
    <t>CMP2252</t>
  </si>
  <si>
    <t>CMP2254</t>
  </si>
  <si>
    <t>CMP2256</t>
  </si>
  <si>
    <t>CMP2258</t>
  </si>
  <si>
    <t>CMP2259</t>
  </si>
  <si>
    <t>CMP2262</t>
  </si>
  <si>
    <t>CMP2264</t>
  </si>
  <si>
    <t>CMP2265</t>
  </si>
  <si>
    <t>CMP2266</t>
  </si>
  <si>
    <t>CMP2267</t>
  </si>
  <si>
    <t>CMP2268</t>
  </si>
  <si>
    <t>CMP2269</t>
  </si>
  <si>
    <t>CMP2270</t>
  </si>
  <si>
    <t>CMP2271</t>
  </si>
  <si>
    <t>CMP2272</t>
  </si>
  <si>
    <t>CMP2273</t>
  </si>
  <si>
    <t>CMP2274</t>
  </si>
  <si>
    <t>CMP2275</t>
  </si>
  <si>
    <t>CMP2276</t>
  </si>
  <si>
    <t>CMP2277</t>
  </si>
  <si>
    <t>CMP2278</t>
  </si>
  <si>
    <t>CMP2280</t>
  </si>
  <si>
    <t>CMP2281</t>
  </si>
  <si>
    <t>CMP2282</t>
  </si>
  <si>
    <t>CMP2283</t>
  </si>
  <si>
    <t>CMP2285</t>
  </si>
  <si>
    <t>CMP2286</t>
  </si>
  <si>
    <t>CMP2287</t>
  </si>
  <si>
    <t>CMP2289</t>
  </si>
  <si>
    <t>CMP2291</t>
  </si>
  <si>
    <t>CMP2292</t>
  </si>
  <si>
    <t>CMP2293</t>
  </si>
  <si>
    <t>CMP2294</t>
  </si>
  <si>
    <t>CMP2295</t>
  </si>
  <si>
    <t>CMP2296</t>
  </si>
  <si>
    <t>CMP2298</t>
  </si>
  <si>
    <t>CMP2299</t>
  </si>
  <si>
    <t>CMP2300</t>
  </si>
  <si>
    <t>CMP2301</t>
  </si>
  <si>
    <t>CMP2304</t>
  </si>
  <si>
    <t>CMP2305</t>
  </si>
  <si>
    <t>CMP2306</t>
  </si>
  <si>
    <t>CMP2307</t>
  </si>
  <si>
    <t>CMP2308</t>
  </si>
  <si>
    <t>CMP2309</t>
  </si>
  <si>
    <t>CMP2310</t>
  </si>
  <si>
    <t>CMP2312</t>
  </si>
  <si>
    <t>CMP2313</t>
  </si>
  <si>
    <t>CMP2314</t>
  </si>
  <si>
    <t>CMP2315</t>
  </si>
  <si>
    <t>CMP2319</t>
  </si>
  <si>
    <t>CMP2321</t>
  </si>
  <si>
    <t>CMP2323</t>
  </si>
  <si>
    <t>CMP2327</t>
  </si>
  <si>
    <t>CMP2328</t>
  </si>
  <si>
    <t>CMP2330</t>
  </si>
  <si>
    <t>CMP2331</t>
  </si>
  <si>
    <t>CMP2332</t>
  </si>
  <si>
    <t>CMP2333</t>
  </si>
  <si>
    <t>CMP2334</t>
  </si>
  <si>
    <t>CMP2335</t>
  </si>
  <si>
    <t>CMP2336</t>
  </si>
  <si>
    <t>CMP2337</t>
  </si>
  <si>
    <t>CMP2338</t>
  </si>
  <si>
    <t>CMP2340</t>
  </si>
  <si>
    <t>CMP2342</t>
  </si>
  <si>
    <t>CMP2347</t>
  </si>
  <si>
    <t>CMP2348</t>
  </si>
  <si>
    <t>CMP2349</t>
  </si>
  <si>
    <t>CMP2350</t>
  </si>
  <si>
    <t>CMP2352</t>
  </si>
  <si>
    <t>CMP2353</t>
  </si>
  <si>
    <t>CMP2354</t>
  </si>
  <si>
    <t>CMP2355</t>
  </si>
  <si>
    <t>CMP2356</t>
  </si>
  <si>
    <t>CMP2357</t>
  </si>
  <si>
    <t>CMP2358</t>
  </si>
  <si>
    <t>CMP2359</t>
  </si>
  <si>
    <t>CMP2360</t>
  </si>
  <si>
    <t>CMP2363</t>
  </si>
  <si>
    <t>CMP2364</t>
  </si>
  <si>
    <t>CMP2365</t>
  </si>
  <si>
    <t>CMP2366</t>
  </si>
  <si>
    <t>CMP2367</t>
  </si>
  <si>
    <t>CMP2369</t>
  </si>
  <si>
    <t>CMP2370</t>
  </si>
  <si>
    <t>CMP2371</t>
  </si>
  <si>
    <t>CMP2372</t>
  </si>
  <si>
    <t>CMP2374</t>
  </si>
  <si>
    <t>CMP2375</t>
  </si>
  <si>
    <t>CMP2376</t>
  </si>
  <si>
    <t>CMP2377</t>
  </si>
  <si>
    <t>CMP2378</t>
  </si>
  <si>
    <t>CMP2379</t>
  </si>
  <si>
    <t>CMP2381</t>
  </si>
  <si>
    <t>CMP2383</t>
  </si>
  <si>
    <t>CMP2384</t>
  </si>
  <si>
    <t>CMP2386</t>
  </si>
  <si>
    <t>CMP2387</t>
  </si>
  <si>
    <t>CMP2388</t>
  </si>
  <si>
    <t>CMP2389</t>
  </si>
  <si>
    <t>CMP2390</t>
  </si>
  <si>
    <t>CMP2391</t>
  </si>
  <si>
    <t>CMP2392</t>
  </si>
  <si>
    <t>CMP2393</t>
  </si>
  <si>
    <t>CMP2394</t>
  </si>
  <si>
    <t>CMP2395</t>
  </si>
  <si>
    <t>CMP2396</t>
  </si>
  <si>
    <t>CMP2397</t>
  </si>
  <si>
    <t>CMP2399</t>
  </si>
  <si>
    <t>CMP2401</t>
  </si>
  <si>
    <t>CMP2402</t>
  </si>
  <si>
    <t>CMP2403</t>
  </si>
  <si>
    <t>CMP2405</t>
  </si>
  <si>
    <t>CMP2407</t>
  </si>
  <si>
    <t>CMP2408</t>
  </si>
  <si>
    <t>CMP2409</t>
  </si>
  <si>
    <t>CMP2410</t>
  </si>
  <si>
    <t>CMP2412</t>
  </si>
  <si>
    <t>CMP2413</t>
  </si>
  <si>
    <t>CMP2415</t>
  </si>
  <si>
    <t>CMP2416</t>
  </si>
  <si>
    <t>CMP2417</t>
  </si>
  <si>
    <t>CMP2418</t>
  </si>
  <si>
    <t>CMP2420</t>
  </si>
  <si>
    <t>CMP2421</t>
  </si>
  <si>
    <t>CMP2422</t>
  </si>
  <si>
    <t>CMP2423</t>
  </si>
  <si>
    <t>CMP2424</t>
  </si>
  <si>
    <t>CMP2425</t>
  </si>
  <si>
    <t>CMP2426</t>
  </si>
  <si>
    <t>CMP2430</t>
  </si>
  <si>
    <t>CMP2436</t>
  </si>
  <si>
    <t>CMP2437</t>
  </si>
  <si>
    <t>CMP2438</t>
  </si>
  <si>
    <t>CMP2441</t>
  </si>
  <si>
    <t>CMP2442</t>
  </si>
  <si>
    <t>CMP2444</t>
  </si>
  <si>
    <t>CMP2445</t>
  </si>
  <si>
    <t>CMP2449</t>
  </si>
  <si>
    <t>CMP2450</t>
  </si>
  <si>
    <t>CMP2451</t>
  </si>
  <si>
    <t>CMP2452</t>
  </si>
  <si>
    <t>CMP2454</t>
  </si>
  <si>
    <t>CMP2455</t>
  </si>
  <si>
    <t>CMP2456</t>
  </si>
  <si>
    <t>CMP2457</t>
  </si>
  <si>
    <t>CMP2458</t>
  </si>
  <si>
    <t>CMP2459</t>
  </si>
  <si>
    <t>CMP2460</t>
  </si>
  <si>
    <t>CMP2461</t>
  </si>
  <si>
    <t>CMP2462</t>
  </si>
  <si>
    <t>CMP2465</t>
  </si>
  <si>
    <t>CMP2466</t>
  </si>
  <si>
    <t>CMP2468</t>
  </si>
  <si>
    <t>CMP2470</t>
  </si>
  <si>
    <t>CMP2471</t>
  </si>
  <si>
    <t>CMP2472</t>
  </si>
  <si>
    <t>CMP2473</t>
  </si>
  <si>
    <t>CMP2474</t>
  </si>
  <si>
    <t>CMP2475</t>
  </si>
  <si>
    <t>CMP2477</t>
  </si>
  <si>
    <t>CMP2479</t>
  </si>
  <si>
    <t>CMP2480</t>
  </si>
  <si>
    <t>CMP2482</t>
  </si>
  <si>
    <t>CMP2484</t>
  </si>
  <si>
    <t>CMP2486</t>
  </si>
  <si>
    <t>CMP2487</t>
  </si>
  <si>
    <t>CMP2489</t>
  </si>
  <si>
    <t>CMP2490</t>
  </si>
  <si>
    <t>CMP2491</t>
  </si>
  <si>
    <t>CMP2492</t>
  </si>
  <si>
    <t>CMP2495</t>
  </si>
  <si>
    <t>CMP2498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</si>
</sst>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[$₹]#,##0"/>
    <numFmt numFmtId="166" formatCode="[$₹]#,##0.00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FFFF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8093B3"/>
        <bgColor rgb="FF8093B3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2" fillId="0" fontId="1" numFmtId="164" xfId="0" applyBorder="1" applyFont="1" applyNumberFormat="1"/>
    <xf borderId="2" fillId="0" fontId="1" numFmtId="165" xfId="0" applyBorder="1" applyFont="1" applyNumberFormat="1"/>
    <xf borderId="2" fillId="0" fontId="1" numFmtId="3" xfId="0" applyBorder="1" applyFont="1" applyNumberFormat="1"/>
    <xf borderId="2" fillId="0" fontId="1" numFmtId="166" xfId="0" applyAlignment="1" applyBorder="1" applyFont="1" applyNumberFormat="1">
      <alignment horizontal="right"/>
    </xf>
    <xf borderId="2" fillId="0" fontId="1" numFmtId="9" xfId="0" applyBorder="1" applyFont="1" applyNumberFormat="1"/>
    <xf borderId="3" fillId="0" fontId="1" numFmtId="166" xfId="0" applyBorder="1" applyFont="1" applyNumberFormat="1"/>
    <xf borderId="4" fillId="0" fontId="1" numFmtId="0" xfId="0" applyBorder="1" applyFon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3" xfId="0" applyFont="1" applyNumberFormat="1"/>
    <xf borderId="0" fillId="0" fontId="1" numFmtId="166" xfId="0" applyAlignment="1" applyFont="1" applyNumberFormat="1">
      <alignment horizontal="right"/>
    </xf>
    <xf borderId="0" fillId="0" fontId="1" numFmtId="9" xfId="0" applyFont="1" applyNumberFormat="1"/>
    <xf borderId="5" fillId="0" fontId="1" numFmtId="166" xfId="0" applyBorder="1" applyFont="1" applyNumberFormat="1"/>
    <xf borderId="6" fillId="0" fontId="1" numFmtId="0" xfId="0" applyBorder="1" applyFont="1"/>
    <xf borderId="6" fillId="0" fontId="1" numFmtId="166" xfId="0" applyBorder="1" applyFont="1" applyNumberFormat="1"/>
    <xf borderId="6" fillId="0" fontId="1" numFmtId="165" xfId="0" applyBorder="1" applyFont="1" applyNumberFormat="1"/>
    <xf borderId="6" fillId="0" fontId="1" numFmtId="9" xfId="0" applyBorder="1" applyFont="1" applyNumberFormat="1"/>
    <xf borderId="0" fillId="0" fontId="1" numFmtId="166" xfId="0" applyFont="1" applyNumberFormat="1"/>
    <xf borderId="0" fillId="0" fontId="1" numFmtId="10" xfId="0" applyFont="1" applyNumberFormat="1"/>
    <xf borderId="0" fillId="0" fontId="2" numFmtId="0" xfId="0" applyFont="1"/>
    <xf borderId="0" fillId="2" fontId="3" numFmtId="0" xfId="0" applyFill="1" applyFont="1"/>
    <xf borderId="0" fillId="0" fontId="2" numFmtId="165" xfId="0" applyFont="1" applyNumberFormat="1"/>
    <xf borderId="0" fillId="0" fontId="2" numFmtId="166" xfId="0" applyFont="1" applyNumberFormat="1"/>
    <xf borderId="0" fillId="0" fontId="2" numFmtId="3" xfId="0" applyFont="1" applyNumberFormat="1"/>
    <xf borderId="0" fillId="0" fontId="2" numFmtId="10" xfId="0" applyFont="1" applyNumberFormat="1"/>
    <xf borderId="0" fillId="0" fontId="2" numFmtId="9" xfId="0" applyFont="1" applyNumberFormat="1"/>
    <xf borderId="6" fillId="0" fontId="1" numFmtId="10" xfId="0" applyBorder="1" applyFont="1" applyNumberFormat="1"/>
    <xf borderId="0" fillId="0" fontId="2" numFmtId="164" xfId="0" applyFont="1" applyNumberFormat="1"/>
    <xf borderId="7" fillId="0" fontId="1" numFmtId="0" xfId="0" applyBorder="1" applyFont="1"/>
    <xf borderId="8" fillId="0" fontId="1" numFmtId="0" xfId="0" applyBorder="1" applyFont="1"/>
    <xf borderId="8" fillId="0" fontId="1" numFmtId="164" xfId="0" applyBorder="1" applyFont="1" applyNumberFormat="1"/>
    <xf borderId="8" fillId="0" fontId="1" numFmtId="165" xfId="0" applyBorder="1" applyFont="1" applyNumberFormat="1"/>
    <xf borderId="8" fillId="0" fontId="1" numFmtId="3" xfId="0" applyBorder="1" applyFont="1" applyNumberFormat="1"/>
    <xf borderId="8" fillId="0" fontId="1" numFmtId="166" xfId="0" applyAlignment="1" applyBorder="1" applyFont="1" applyNumberFormat="1">
      <alignment horizontal="right"/>
    </xf>
    <xf borderId="9" fillId="0" fontId="1" numFmtId="166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SUM of RevenueGenerated vs SUM of Spend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Analysis!$A$38:$A$50</c:f>
            </c:strRef>
          </c:cat>
          <c:val>
            <c:numRef>
              <c:f>Analysis!$B$38:$B$50</c:f>
              <c:numCache/>
            </c:numRef>
          </c:val>
        </c:ser>
        <c:ser>
          <c:idx val="1"/>
          <c:order val="1"/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Analysis!$A$38:$A$50</c:f>
            </c:strRef>
          </c:cat>
          <c:val>
            <c:numRef>
              <c:f>Analysis!$C$38:$C$50</c:f>
              <c:numCache/>
            </c:numRef>
          </c:val>
        </c:ser>
        <c:axId val="307134341"/>
        <c:axId val="567187694"/>
      </c:areaChart>
      <c:catAx>
        <c:axId val="3071343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SUM of Spend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67187694"/>
      </c:catAx>
      <c:valAx>
        <c:axId val="5671876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SUM of RevenueGenerated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0713434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523875</xdr:colOff>
      <xdr:row>35</xdr:row>
      <xdr:rowOff>85725</xdr:rowOff>
    </xdr:from>
    <xdr:ext cx="5715000" cy="3533775"/>
    <xdr:graphicFrame>
      <xdr:nvGraphicFramePr>
        <xdr:cNvPr id="1270559378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1128" sheet="GLOWUP.csv"/>
  </cacheSource>
  <cacheFields>
    <cacheField name="CampaignID" numFmtId="0">
      <sharedItems>
        <s v="CMP1000"/>
        <s v="CMP1001"/>
        <s v="CMP1002"/>
        <s v="CMP1003"/>
        <s v="CMP1004"/>
        <s v="CMP1005"/>
        <s v="CMP1008"/>
        <s v="CMP1010"/>
        <s v="CMP1011"/>
        <s v="CMP1012"/>
        <s v="CMP1013"/>
        <s v="CMP1014"/>
        <s v="CMP1015"/>
        <s v="CMP1016"/>
        <s v="CMP1018"/>
        <s v="CMP1022"/>
        <s v="CMP1023"/>
        <s v="CMP1024"/>
        <s v="CMP1025"/>
        <s v="CMP1026"/>
        <s v="CMP1027"/>
        <s v="CMP1028"/>
        <s v="CMP1029"/>
        <s v="CMP1030"/>
        <s v="CMP1031"/>
        <s v="CMP1033"/>
        <s v="CMP1034"/>
        <s v="CMP1035"/>
        <s v="CMP1036"/>
        <s v="CMP1038"/>
        <s v="CMP1039"/>
        <s v="CMP1041"/>
        <s v="CMP1042"/>
        <s v="CMP1043"/>
        <s v="CMP1044"/>
        <s v="CMP1046"/>
        <s v="CMP1047"/>
        <s v="CMP1048"/>
        <s v="CMP1050"/>
        <s v="CMP1055"/>
        <s v="CMP1057"/>
        <s v="CMP1059"/>
        <s v="CMP1060"/>
        <s v="CMP1061"/>
        <s v="CMP1062"/>
        <s v="CMP1065"/>
        <s v="CMP1067"/>
        <s v="CMP1068"/>
        <s v="CMP1069"/>
        <s v="CMP1070"/>
        <s v="CMP1071"/>
        <s v="CMP1072"/>
        <s v="CMP1073"/>
        <s v="CMP1074"/>
        <s v="CMP1075"/>
        <s v="CMP1076"/>
        <s v="CMP1077"/>
        <s v="CMP1078"/>
        <s v="CMP1079"/>
        <s v="CMP1080"/>
        <s v="CMP1081"/>
        <s v="CMP1083"/>
        <s v="CMP1084"/>
        <s v="CMP1085"/>
        <s v="CMP1086"/>
        <s v="CMP1087"/>
        <s v="CMP1088"/>
        <s v="CMP1089"/>
        <s v="CMP1090"/>
        <s v="CMP1092"/>
        <s v="CMP1093"/>
        <s v="CMP1094"/>
        <s v="CMP1095"/>
        <s v="CMP1096"/>
        <s v="CMP1097"/>
        <s v="CMP1098"/>
        <s v="CMP1099"/>
        <s v="CMP1101"/>
        <s v="CMP1102"/>
        <s v="CMP1103"/>
        <s v="CMP1104"/>
        <s v="CMP1106"/>
        <s v="CMP1108"/>
        <s v="CMP1109"/>
        <s v="CMP1110"/>
        <s v="CMP1111"/>
        <s v="CMP1112"/>
        <s v="CMP1114"/>
        <s v="CMP1117"/>
        <s v="CMP1118"/>
        <s v="CMP1119"/>
        <s v="CMP1120"/>
        <s v="CMP1121"/>
        <s v="CMP1122"/>
        <s v="CMP1124"/>
        <s v="CMP1125"/>
        <s v="CMP1126"/>
        <s v="CMP1127"/>
        <s v="CMP1128"/>
        <s v="CMP1129"/>
        <s v="CMP1130"/>
        <s v="CMP1131"/>
        <s v="CMP1132"/>
        <s v="CMP1133"/>
        <s v="CMP1135"/>
        <s v="CMP1136"/>
        <s v="CMP1137"/>
        <s v="CMP1138"/>
        <s v="CMP1139"/>
        <s v="CMP1140"/>
        <s v="CMP1141"/>
        <s v="CMP1142"/>
        <s v="CMP1143"/>
        <s v="CMP1144"/>
        <s v="CMP1145"/>
        <s v="CMP1146"/>
        <s v="CMP1148"/>
        <s v="CMP1149"/>
        <s v="CMP1150"/>
        <s v="CMP1151"/>
        <s v="CMP1152"/>
        <s v="CMP1153"/>
        <s v="CMP1154"/>
        <s v="CMP1156"/>
        <s v="CMP1157"/>
        <s v="CMP1158"/>
        <s v="CMP1159"/>
        <s v="CMP1162"/>
        <s v="CMP1165"/>
        <s v="CMP1166"/>
        <s v="CMP1167"/>
        <s v="CMP1169"/>
        <s v="CMP1171"/>
        <s v="CMP1172"/>
        <s v="CMP1173"/>
        <s v="CMP1174"/>
        <s v="CMP1175"/>
        <s v="CMP1176"/>
        <s v="CMP1177"/>
        <s v="CMP1178"/>
        <s v="CMP1179"/>
        <s v="CMP1180"/>
        <s v="CMP1181"/>
        <s v="CMP1182"/>
        <s v="CMP1186"/>
        <s v="CMP1187"/>
        <s v="CMP1188"/>
        <s v="CMP1189"/>
        <s v="CMP1190"/>
        <s v="CMP1192"/>
        <s v="CMP1194"/>
        <s v="CMP1196"/>
        <s v="CMP1197"/>
        <s v="CMP1198"/>
        <s v="CMP1199"/>
        <s v="CMP1201"/>
        <s v="CMP1202"/>
        <s v="CMP1203"/>
        <s v="CMP1204"/>
        <s v="CMP1205"/>
        <s v="CMP1206"/>
        <s v="CMP1207"/>
        <s v="CMP1208"/>
        <s v="CMP1209"/>
        <s v="CMP1210"/>
        <s v="CMP1211"/>
        <s v="CMP1212"/>
        <s v="CMP1214"/>
        <s v="CMP1216"/>
        <s v="CMP1217"/>
        <s v="CMP1218"/>
        <s v="CMP1220"/>
        <s v="CMP1221"/>
        <s v="CMP1222"/>
        <s v="CMP1223"/>
        <s v="CMP1224"/>
        <s v="CMP1225"/>
        <s v="CMP1226"/>
        <s v="CMP1227"/>
        <s v="CMP1228"/>
        <s v="CMP1230"/>
        <s v="CMP1231"/>
        <s v="CMP1233"/>
        <s v="CMP1234"/>
        <s v="CMP1235"/>
        <s v="CMP1236"/>
        <s v="CMP1237"/>
        <s v="CMP1238"/>
        <s v="CMP1240"/>
        <s v="CMP1242"/>
        <s v="CMP1243"/>
        <s v="CMP1244"/>
        <s v="CMP1245"/>
        <s v="CMP1248"/>
        <s v="CMP1249"/>
        <s v="CMP1251"/>
        <s v="CMP1252"/>
        <s v="CMP1255"/>
        <s v="CMP1256"/>
        <s v="CMP1257"/>
        <s v="CMP1258"/>
        <s v="CMP1261"/>
        <s v="CMP1262"/>
        <s v="CMP1263"/>
        <s v="CMP1264"/>
        <s v="CMP1266"/>
        <s v="CMP1267"/>
        <s v="CMP1269"/>
        <s v="CMP1270"/>
        <s v="CMP1272"/>
        <s v="CMP1273"/>
        <s v="CMP1274"/>
        <s v="CMP1275"/>
        <s v="CMP1276"/>
        <s v="CMP1277"/>
        <s v="CMP1278"/>
        <s v="CMP1279"/>
        <s v="CMP1280"/>
        <s v="CMP1281"/>
        <s v="CMP1282"/>
        <s v="CMP1284"/>
        <s v="CMP1285"/>
        <s v="CMP1286"/>
        <s v="CMP1287"/>
        <s v="CMP1288"/>
        <s v="CMP1290"/>
        <s v="CMP1291"/>
        <s v="CMP1292"/>
        <s v="CMP1293"/>
        <s v="CMP1294"/>
        <s v="CMP1295"/>
        <s v="CMP1296"/>
        <s v="CMP1297"/>
        <s v="CMP1299"/>
        <s v="CMP1301"/>
        <s v="CMP1303"/>
        <s v="CMP1304"/>
        <s v="CMP1306"/>
        <s v="CMP1307"/>
        <s v="CMP1308"/>
        <s v="CMP1309"/>
        <s v="CMP1310"/>
        <s v="CMP1311"/>
        <s v="CMP1312"/>
        <s v="CMP1313"/>
        <s v="CMP1314"/>
        <s v="CMP1315"/>
        <s v="CMP1316"/>
        <s v="CMP1317"/>
        <s v="CMP1318"/>
        <s v="CMP1319"/>
        <s v="CMP1320"/>
        <s v="CMP1321"/>
        <s v="CMP1322"/>
        <s v="CMP1323"/>
        <s v="CMP1324"/>
        <s v="CMP1326"/>
        <s v="CMP1329"/>
        <s v="CMP1330"/>
        <s v="CMP1333"/>
        <s v="CMP1334"/>
        <s v="CMP1337"/>
        <s v="CMP1339"/>
        <s v="CMP1340"/>
        <s v="CMP1341"/>
        <s v="CMP1343"/>
        <s v="CMP1344"/>
        <s v="CMP1345"/>
        <s v="CMP1347"/>
        <s v="CMP1348"/>
        <s v="CMP1351"/>
        <s v="CMP1352"/>
        <s v="CMP1353"/>
        <s v="CMP1354"/>
        <s v="CMP1356"/>
        <s v="CMP1357"/>
        <s v="CMP1359"/>
        <s v="CMP1361"/>
        <s v="CMP1362"/>
        <s v="CMP1363"/>
        <s v="CMP1364"/>
        <s v="CMP1365"/>
        <s v="CMP1366"/>
        <s v="CMP1367"/>
        <s v="CMP1368"/>
        <s v="CMP1369"/>
        <s v="CMP1373"/>
        <s v="CMP1374"/>
        <s v="CMP1375"/>
        <s v="CMP1376"/>
        <s v="CMP1377"/>
        <s v="CMP1378"/>
        <s v="CMP1379"/>
        <s v="CMP1380"/>
        <s v="CMP1381"/>
        <s v="CMP1382"/>
        <s v="CMP1384"/>
        <s v="CMP1385"/>
        <s v="CMP1386"/>
        <s v="CMP1388"/>
        <s v="CMP1391"/>
        <s v="CMP1393"/>
        <s v="CMP1394"/>
        <s v="CMP1395"/>
        <s v="CMP1396"/>
        <s v="CMP1397"/>
        <s v="CMP1398"/>
        <s v="CMP1399"/>
        <s v="CMP1400"/>
        <s v="CMP1401"/>
        <s v="CMP1402"/>
        <s v="CMP1403"/>
        <s v="CMP1404"/>
        <s v="CMP1405"/>
        <s v="CMP1406"/>
        <s v="CMP1407"/>
        <s v="CMP1408"/>
        <s v="CMP1409"/>
        <s v="CMP1410"/>
        <s v="CMP1411"/>
        <s v="CMP1412"/>
        <s v="CMP1413"/>
        <s v="CMP1414"/>
        <s v="CMP1416"/>
        <s v="CMP1417"/>
        <s v="CMP1418"/>
        <s v="CMP1420"/>
        <s v="CMP1421"/>
        <s v="CMP1422"/>
        <s v="CMP1423"/>
        <s v="CMP1424"/>
        <s v="CMP1425"/>
        <s v="CMP1428"/>
        <s v="CMP1429"/>
        <s v="CMP1430"/>
        <s v="CMP1432"/>
        <s v="CMP1433"/>
        <s v="CMP1434"/>
        <s v="CMP1435"/>
        <s v="CMP1436"/>
        <s v="CMP1437"/>
        <s v="CMP1439"/>
        <s v="CMP1440"/>
        <s v="CMP1441"/>
        <s v="CMP1442"/>
        <s v="CMP1443"/>
        <s v="CMP1445"/>
        <s v="CMP1448"/>
        <s v="CMP1449"/>
        <s v="CMP1450"/>
        <s v="CMP1451"/>
        <s v="CMP1454"/>
        <s v="CMP1455"/>
        <s v="CMP1459"/>
        <s v="CMP1460"/>
        <s v="CMP1461"/>
        <s v="CMP1463"/>
        <s v="CMP1465"/>
        <s v="CMP1466"/>
        <s v="CMP1467"/>
        <s v="CMP1469"/>
        <s v="CMP1470"/>
        <s v="CMP1471"/>
        <s v="CMP1474"/>
        <s v="CMP1475"/>
        <s v="CMP1476"/>
        <s v="CMP1477"/>
        <s v="CMP1479"/>
        <s v="CMP1481"/>
        <s v="CMP1482"/>
        <s v="CMP1483"/>
        <s v="CMP1485"/>
        <s v="CMP1486"/>
        <s v="CMP1488"/>
        <s v="CMP1489"/>
        <s v="CMP1490"/>
        <s v="CMP1491"/>
        <s v="CMP1492"/>
        <s v="CMP1493"/>
        <s v="CMP1495"/>
        <s v="CMP1497"/>
        <s v="CMP1498"/>
        <s v="CMP1499"/>
        <s v="CMP1500"/>
        <s v="CMP1501"/>
        <s v="CMP1502"/>
        <s v="CMP1503"/>
        <s v="CMP1504"/>
        <s v="CMP1506"/>
        <s v="CMP1508"/>
        <s v="CMP1509"/>
        <s v="CMP1510"/>
        <s v="CMP1511"/>
        <s v="CMP1512"/>
        <s v="CMP1514"/>
        <s v="CMP1515"/>
        <s v="CMP1516"/>
        <s v="CMP1517"/>
        <s v="CMP1518"/>
        <s v="CMP1519"/>
        <s v="CMP1521"/>
        <s v="CMP1522"/>
        <s v="CMP1523"/>
        <s v="CMP1524"/>
        <s v="CMP1525"/>
        <s v="CMP1526"/>
        <s v="CMP1528"/>
        <s v="CMP1529"/>
        <s v="CMP1530"/>
        <s v="CMP1531"/>
        <s v="CMP1532"/>
        <s v="CMP1533"/>
        <s v="CMP1535"/>
        <s v="CMP1536"/>
        <s v="CMP1537"/>
        <s v="CMP1539"/>
        <s v="CMP1540"/>
        <s v="CMP1541"/>
        <s v="CMP1546"/>
        <s v="CMP1550"/>
        <s v="CMP1551"/>
        <s v="CMP1555"/>
        <s v="CMP1556"/>
        <s v="CMP1557"/>
        <s v="CMP1558"/>
        <s v="CMP1559"/>
        <s v="CMP1560"/>
        <s v="CMP1561"/>
        <s v="CMP1562"/>
        <s v="CMP1563"/>
        <s v="CMP1564"/>
        <s v="CMP1565"/>
        <s v="CMP1566"/>
        <s v="CMP1568"/>
        <s v="CMP1570"/>
        <s v="CMP1572"/>
        <s v="CMP1573"/>
        <s v="CMP1574"/>
        <s v="CMP1575"/>
        <s v="CMP1576"/>
        <s v="CMP1577"/>
        <s v="CMP1578"/>
        <s v="CMP1580"/>
        <s v="CMP1582"/>
        <s v="CMP1583"/>
        <s v="CMP1584"/>
        <s v="CMP1585"/>
        <s v="CMP1588"/>
        <s v="CMP1589"/>
        <s v="CMP1591"/>
        <s v="CMP1592"/>
        <s v="CMP1594"/>
        <s v="CMP1595"/>
        <s v="CMP1597"/>
        <s v="CMP1599"/>
        <s v="CMP1600"/>
        <s v="CMP1601"/>
        <s v="CMP1602"/>
        <s v="CMP1604"/>
        <s v="CMP1605"/>
        <s v="CMP1606"/>
        <s v="CMP1608"/>
        <s v="CMP1609"/>
        <s v="CMP1610"/>
        <s v="CMP1611"/>
        <s v="CMP1612"/>
        <s v="CMP1613"/>
        <s v="CMP1614"/>
        <s v="CMP1616"/>
        <s v="CMP1617"/>
        <s v="CMP1618"/>
        <s v="CMP1619"/>
        <s v="CMP1620"/>
        <s v="CMP1621"/>
        <s v="CMP1622"/>
        <s v="CMP1623"/>
        <s v="CMP1624"/>
        <s v="CMP1625"/>
        <s v="CMP1626"/>
        <s v="CMP1627"/>
        <s v="CMP1628"/>
        <s v="CMP1629"/>
        <s v="CMP1632"/>
        <s v="CMP1634"/>
        <s v="CMP1635"/>
        <s v="CMP1636"/>
        <s v="CMP1639"/>
        <s v="CMP1640"/>
        <s v="CMP1644"/>
        <s v="CMP1647"/>
        <s v="CMP1648"/>
        <s v="CMP1649"/>
        <s v="CMP1650"/>
        <s v="CMP1651"/>
        <s v="CMP1652"/>
        <s v="CMP1653"/>
        <s v="CMP1654"/>
        <s v="CMP1655"/>
        <s v="CMP1656"/>
        <s v="CMP1657"/>
        <s v="CMP1659"/>
        <s v="CMP1660"/>
        <s v="CMP1661"/>
        <s v="CMP1662"/>
        <s v="CMP1664"/>
        <s v="CMP1665"/>
        <s v="CMP1666"/>
        <s v="CMP1667"/>
        <s v="CMP1669"/>
        <s v="CMP1670"/>
        <s v="CMP1671"/>
        <s v="CMP1672"/>
        <s v="CMP1673"/>
        <s v="CMP1674"/>
        <s v="CMP1676"/>
        <s v="CMP1677"/>
        <s v="CMP1679"/>
        <s v="CMP1680"/>
        <s v="CMP1682"/>
        <s v="CMP1683"/>
        <s v="CMP1684"/>
        <s v="CMP1685"/>
        <s v="CMP1687"/>
        <s v="CMP1688"/>
        <s v="CMP1689"/>
        <s v="CMP1690"/>
        <s v="CMP1691"/>
        <s v="CMP1693"/>
        <s v="CMP1695"/>
        <s v="CMP1697"/>
        <s v="CMP1698"/>
        <s v="CMP1699"/>
        <s v="CMP1700"/>
        <s v="CMP1702"/>
        <s v="CMP1703"/>
        <s v="CMP1704"/>
        <s v="CMP1705"/>
        <s v="CMP1706"/>
        <s v="CMP1708"/>
        <s v="CMP1709"/>
        <s v="CMP1712"/>
        <s v="CMP1713"/>
        <s v="CMP1714"/>
        <s v="CMP1715"/>
        <s v="CMP1716"/>
        <s v="CMP1719"/>
        <s v="CMP1720"/>
        <s v="CMP1721"/>
        <s v="CMP1723"/>
        <s v="CMP1725"/>
        <s v="CMP1726"/>
        <s v="CMP1728"/>
        <s v="CMP1729"/>
        <s v="CMP1732"/>
        <s v="CMP1733"/>
        <s v="CMP1736"/>
        <s v="CMP1737"/>
        <s v="CMP1738"/>
        <s v="CMP1739"/>
        <s v="CMP1740"/>
        <s v="CMP1743"/>
        <s v="CMP1745"/>
        <s v="CMP1747"/>
        <s v="CMP1748"/>
        <s v="CMP1749"/>
        <s v="CMP1750"/>
        <s v="CMP1751"/>
        <s v="CMP1752"/>
        <s v="CMP1753"/>
        <s v="CMP1755"/>
        <s v="CMP1756"/>
        <s v="CMP1757"/>
        <s v="CMP1758"/>
        <s v="CMP1761"/>
        <s v="CMP1762"/>
        <s v="CMP1763"/>
        <s v="CMP1764"/>
        <s v="CMP1766"/>
        <s v="CMP1768"/>
        <s v="CMP1769"/>
        <s v="CMP1770"/>
        <s v="CMP1771"/>
        <s v="CMP1772"/>
        <s v="CMP1773"/>
        <s v="CMP1774"/>
        <s v="CMP1776"/>
        <s v="CMP1777"/>
        <s v="CMP1780"/>
        <s v="CMP1781"/>
        <s v="CMP1784"/>
        <s v="CMP1785"/>
        <s v="CMP1786"/>
        <s v="CMP1787"/>
        <s v="CMP1788"/>
        <s v="CMP1789"/>
        <s v="CMP1791"/>
        <s v="CMP1792"/>
        <s v="CMP1794"/>
        <s v="CMP1795"/>
        <s v="CMP1796"/>
        <s v="CMP1797"/>
        <s v="CMP1798"/>
        <s v="CMP1799"/>
        <s v="CMP1800"/>
        <s v="CMP1801"/>
        <s v="CMP1803"/>
        <s v="CMP1805"/>
        <s v="CMP1806"/>
        <s v="CMP1807"/>
        <s v="CMP1809"/>
        <s v="CMP1810"/>
        <s v="CMP1811"/>
        <s v="CMP1812"/>
        <s v="CMP1813"/>
        <s v="CMP1814"/>
        <s v="CMP1815"/>
        <s v="CMP1816"/>
        <s v="CMP1817"/>
        <s v="CMP1818"/>
        <s v="CMP1819"/>
        <s v="CMP1820"/>
        <s v="CMP1823"/>
        <s v="CMP1825"/>
        <s v="CMP1826"/>
        <s v="CMP1827"/>
        <s v="CMP1828"/>
        <s v="CMP1829"/>
        <s v="CMP1830"/>
        <s v="CMP1832"/>
        <s v="CMP1833"/>
        <s v="CMP1834"/>
        <s v="CMP1835"/>
        <s v="CMP1836"/>
        <s v="CMP1837"/>
        <s v="CMP1839"/>
        <s v="CMP1840"/>
        <s v="CMP1841"/>
        <s v="CMP1842"/>
        <s v="CMP1843"/>
        <s v="CMP1844"/>
        <s v="CMP1846"/>
        <s v="CMP1847"/>
        <s v="CMP1848"/>
        <s v="CMP1849"/>
        <s v="CMP1851"/>
        <s v="CMP1853"/>
        <s v="CMP1854"/>
        <s v="CMP1855"/>
        <s v="CMP1856"/>
        <s v="CMP1857"/>
        <s v="CMP1858"/>
        <s v="CMP1861"/>
        <s v="CMP1862"/>
        <s v="CMP1863"/>
        <s v="CMP1866"/>
        <s v="CMP1868"/>
        <s v="CMP1870"/>
        <s v="CMP1871"/>
        <s v="CMP1873"/>
        <s v="CMP1875"/>
        <s v="CMP1876"/>
        <s v="CMP1877"/>
        <s v="CMP1878"/>
        <s v="CMP1879"/>
        <s v="CMP1881"/>
        <s v="CMP1882"/>
        <s v="CMP1883"/>
        <s v="CMP1884"/>
        <s v="CMP1886"/>
        <s v="CMP1887"/>
        <s v="CMP1890"/>
        <s v="CMP1892"/>
        <s v="CMP1894"/>
        <s v="CMP1895"/>
        <s v="CMP1896"/>
        <s v="CMP1897"/>
        <s v="CMP1898"/>
        <s v="CMP1899"/>
        <s v="CMP1902"/>
        <s v="CMP1903"/>
        <s v="CMP1905"/>
        <s v="CMP1906"/>
        <s v="CMP1907"/>
        <s v="CMP1908"/>
        <s v="CMP1909"/>
        <s v="CMP1910"/>
        <s v="CMP1911"/>
        <s v="CMP1912"/>
        <s v="CMP1913"/>
        <s v="CMP1914"/>
        <s v="CMP1915"/>
        <s v="CMP1916"/>
        <s v="CMP1917"/>
        <s v="CMP1919"/>
        <s v="CMP1920"/>
        <s v="CMP1922"/>
        <s v="CMP1924"/>
        <s v="CMP1925"/>
        <s v="CMP1926"/>
        <s v="CMP1927"/>
        <s v="CMP1928"/>
        <s v="CMP1929"/>
        <s v="CMP1930"/>
        <s v="CMP1931"/>
        <s v="CMP1933"/>
        <s v="CMP1934"/>
        <s v="CMP1935"/>
        <s v="CMP1936"/>
        <s v="CMP1937"/>
        <s v="CMP1940"/>
        <s v="CMP1941"/>
        <s v="CMP1942"/>
        <s v="CMP1943"/>
        <s v="CMP1945"/>
        <s v="CMP1946"/>
        <s v="CMP1947"/>
        <s v="CMP1948"/>
        <s v="CMP1949"/>
        <s v="CMP1950"/>
        <s v="CMP1952"/>
        <s v="CMP1953"/>
        <s v="CMP1954"/>
        <s v="CMP1955"/>
        <s v="CMP1957"/>
        <s v="CMP1958"/>
        <s v="CMP1959"/>
        <s v="CMP1960"/>
        <s v="CMP1961"/>
        <s v="CMP1962"/>
        <s v="CMP1963"/>
        <s v="CMP1965"/>
        <s v="CMP1966"/>
        <s v="CMP1967"/>
        <s v="CMP1969"/>
        <s v="CMP1970"/>
        <s v="CMP1971"/>
        <s v="CMP1972"/>
        <s v="CMP1974"/>
        <s v="CMP1975"/>
        <s v="CMP1976"/>
        <s v="CMP1978"/>
        <s v="CMP1980"/>
        <s v="CMP1981"/>
        <s v="CMP1982"/>
        <s v="CMP1983"/>
        <s v="CMP1984"/>
        <s v="CMP1985"/>
        <s v="CMP1986"/>
        <s v="CMP1988"/>
        <s v="CMP1989"/>
        <s v="CMP1990"/>
        <s v="CMP1991"/>
        <s v="CMP1992"/>
        <s v="CMP1993"/>
        <s v="CMP1995"/>
        <s v="CMP1997"/>
        <s v="CMP1999"/>
        <s v="CMP2000"/>
        <s v="CMP2001"/>
        <s v="CMP2002"/>
        <s v="CMP2003"/>
        <s v="CMP2004"/>
        <s v="CMP2005"/>
        <s v="CMP2006"/>
        <s v="CMP2013"/>
        <s v="CMP2015"/>
        <s v="CMP2016"/>
        <s v="CMP2017"/>
        <s v="CMP2018"/>
        <s v="CMP2019"/>
        <s v="CMP2021"/>
        <s v="CMP2022"/>
        <s v="CMP2023"/>
        <s v="CMP2027"/>
        <s v="CMP2028"/>
        <s v="CMP2029"/>
        <s v="CMP2030"/>
        <s v="CMP2032"/>
        <s v="CMP2033"/>
        <s v="CMP2034"/>
        <s v="CMP2035"/>
        <s v="CMP2037"/>
        <s v="CMP2038"/>
        <s v="CMP2039"/>
        <s v="CMP2040"/>
        <s v="CMP2041"/>
        <s v="CMP2042"/>
        <s v="CMP2043"/>
        <s v="CMP2044"/>
        <s v="CMP2045"/>
        <s v="CMP2047"/>
        <s v="CMP2048"/>
        <s v="CMP2050"/>
        <s v="CMP2051"/>
        <s v="CMP2052"/>
        <s v="CMP2053"/>
        <s v="CMP2054"/>
        <s v="CMP2055"/>
        <s v="CMP2056"/>
        <s v="CMP2057"/>
        <s v="CMP2060"/>
        <s v="CMP2061"/>
        <s v="CMP2062"/>
        <s v="CMP2064"/>
        <s v="CMP2066"/>
        <s v="CMP2072"/>
        <s v="CMP2074"/>
        <s v="CMP2075"/>
        <s v="CMP2076"/>
        <s v="CMP2077"/>
        <s v="CMP2079"/>
        <s v="CMP2080"/>
        <s v="CMP2081"/>
        <s v="CMP2082"/>
        <s v="CMP2083"/>
        <s v="CMP2084"/>
        <s v="CMP2085"/>
        <s v="CMP2086"/>
        <s v="CMP2087"/>
        <s v="CMP2088"/>
        <s v="CMP2089"/>
        <s v="CMP2090"/>
        <s v="CMP2091"/>
        <s v="CMP2092"/>
        <s v="CMP2093"/>
        <s v="CMP2094"/>
        <s v="CMP2095"/>
        <s v="CMP2097"/>
        <s v="CMP2098"/>
        <s v="CMP2099"/>
        <s v="CMP2100"/>
        <s v="CMP2101"/>
        <s v="CMP2102"/>
        <s v="CMP2104"/>
        <s v="CMP2105"/>
        <s v="CMP2106"/>
        <s v="CMP2107"/>
        <s v="CMP2108"/>
        <s v="CMP2109"/>
        <s v="CMP2110"/>
        <s v="CMP2111"/>
        <s v="CMP2112"/>
        <s v="CMP2113"/>
        <s v="CMP2114"/>
        <s v="CMP2115"/>
        <s v="CMP2116"/>
        <s v="CMP2117"/>
        <s v="CMP2118"/>
        <s v="CMP2120"/>
        <s v="CMP2121"/>
        <s v="CMP2122"/>
        <s v="CMP2123"/>
        <s v="CMP2124"/>
        <s v="CMP2125"/>
        <s v="CMP2126"/>
        <s v="CMP2127"/>
        <s v="CMP2128"/>
        <s v="CMP2129"/>
        <s v="CMP2130"/>
        <s v="CMP2131"/>
        <s v="CMP2132"/>
        <s v="CMP2133"/>
        <s v="CMP2134"/>
        <s v="CMP2135"/>
        <s v="CMP2136"/>
        <s v="CMP2137"/>
        <s v="CMP2140"/>
        <s v="CMP2141"/>
        <s v="CMP2142"/>
        <s v="CMP2144"/>
        <s v="CMP2145"/>
        <s v="CMP2146"/>
        <s v="CMP2147"/>
        <s v="CMP2148"/>
        <s v="CMP2149"/>
        <s v="CMP2150"/>
        <s v="CMP2151"/>
        <s v="CMP2153"/>
        <s v="CMP2154"/>
        <s v="CMP2155"/>
        <s v="CMP2157"/>
        <s v="CMP2159"/>
        <s v="CMP2160"/>
        <s v="CMP2163"/>
        <s v="CMP2164"/>
        <s v="CMP2165"/>
        <s v="CMP2166"/>
        <s v="CMP2168"/>
        <s v="CMP2169"/>
        <s v="CMP2170"/>
        <s v="CMP2172"/>
        <s v="CMP2173"/>
        <s v="CMP2174"/>
        <s v="CMP2175"/>
        <s v="CMP2176"/>
        <s v="CMP2177"/>
        <s v="CMP2178"/>
        <s v="CMP2179"/>
        <s v="CMP2180"/>
        <s v="CMP2181"/>
        <s v="CMP2182"/>
        <s v="CMP2183"/>
        <s v="CMP2184"/>
        <s v="CMP2185"/>
        <s v="CMP2188"/>
        <s v="CMP2189"/>
        <s v="CMP2191"/>
        <s v="CMP2192"/>
        <s v="CMP2193"/>
        <s v="CMP2194"/>
        <s v="CMP2195"/>
        <s v="CMP2196"/>
        <s v="CMP2197"/>
        <s v="CMP2198"/>
        <s v="CMP2199"/>
        <s v="CMP2203"/>
        <s v="CMP2205"/>
        <s v="CMP2206"/>
        <s v="CMP2208"/>
        <s v="CMP2209"/>
        <s v="CMP2211"/>
        <s v="CMP2213"/>
        <s v="CMP2215"/>
        <s v="CMP2216"/>
        <s v="CMP2217"/>
        <s v="CMP2218"/>
        <s v="CMP2223"/>
        <s v="CMP2224"/>
        <s v="CMP2226"/>
        <s v="CMP2227"/>
        <s v="CMP2228"/>
        <s v="CMP2229"/>
        <s v="CMP2230"/>
        <s v="CMP2231"/>
        <s v="CMP2232"/>
        <s v="CMP2233"/>
        <s v="CMP2234"/>
        <s v="CMP2235"/>
        <s v="CMP2236"/>
        <s v="CMP2237"/>
        <s v="CMP2238"/>
        <s v="CMP2239"/>
        <s v="CMP2240"/>
        <s v="CMP2241"/>
        <s v="CMP2242"/>
        <s v="CMP2245"/>
        <s v="CMP2246"/>
        <s v="CMP2247"/>
        <s v="CMP2248"/>
        <s v="CMP2249"/>
        <s v="CMP2251"/>
        <s v="CMP2252"/>
        <s v="CMP2254"/>
        <s v="CMP2256"/>
        <s v="CMP2258"/>
        <s v="CMP2259"/>
        <s v="CMP2262"/>
        <s v="CMP2264"/>
        <s v="CMP2265"/>
        <s v="CMP2266"/>
        <s v="CMP2267"/>
        <s v="CMP2268"/>
        <s v="CMP2269"/>
        <s v="CMP2270"/>
        <s v="CMP2271"/>
        <s v="CMP2272"/>
        <s v="CMP2273"/>
        <s v="CMP2274"/>
        <s v="CMP2275"/>
        <s v="CMP2276"/>
        <s v="CMP2277"/>
        <s v="CMP2278"/>
        <s v="CMP2280"/>
        <s v="CMP2281"/>
        <s v="CMP2282"/>
        <s v="CMP2283"/>
        <s v="CMP2285"/>
        <s v="CMP2286"/>
        <s v="CMP2287"/>
        <s v="CMP2289"/>
        <s v="CMP2291"/>
        <s v="CMP2292"/>
        <s v="CMP2293"/>
        <s v="CMP2294"/>
        <s v="CMP2295"/>
        <s v="CMP2296"/>
        <s v="CMP2298"/>
        <s v="CMP2299"/>
        <s v="CMP2300"/>
        <s v="CMP2301"/>
        <s v="CMP2304"/>
        <s v="CMP2305"/>
        <s v="CMP2306"/>
        <s v="CMP2307"/>
        <s v="CMP2308"/>
        <s v="CMP2309"/>
        <s v="CMP2310"/>
        <s v="CMP2312"/>
        <s v="CMP2313"/>
        <s v="CMP2314"/>
        <s v="CMP2315"/>
        <s v="CMP2319"/>
        <s v="CMP2321"/>
        <s v="CMP2323"/>
        <s v="CMP2327"/>
        <s v="CMP2328"/>
        <s v="CMP2330"/>
        <s v="CMP2331"/>
        <s v="CMP2332"/>
        <s v="CMP2333"/>
        <s v="CMP2334"/>
        <s v="CMP2335"/>
        <s v="CMP2336"/>
        <s v="CMP2337"/>
        <s v="CMP2338"/>
        <s v="CMP2340"/>
        <s v="CMP2342"/>
        <s v="CMP2347"/>
        <s v="CMP2348"/>
        <s v="CMP2349"/>
        <s v="CMP2350"/>
        <s v="CMP2352"/>
        <s v="CMP2353"/>
        <s v="CMP2354"/>
        <s v="CMP2355"/>
        <s v="CMP2356"/>
        <s v="CMP2357"/>
        <s v="CMP2358"/>
        <s v="CMP2359"/>
        <s v="CMP2360"/>
        <s v="CMP2363"/>
        <s v="CMP2364"/>
        <s v="CMP2365"/>
        <s v="CMP2366"/>
        <s v="CMP2367"/>
        <s v="CMP2369"/>
        <s v="CMP2370"/>
        <s v="CMP2371"/>
        <s v="CMP2372"/>
        <s v="CMP2374"/>
        <s v="CMP2375"/>
        <s v="CMP2376"/>
        <s v="CMP2377"/>
        <s v="CMP2378"/>
        <s v="CMP2379"/>
        <s v="CMP2381"/>
        <s v="CMP2383"/>
        <s v="CMP2384"/>
        <s v="CMP2386"/>
        <s v="CMP2387"/>
        <s v="CMP2388"/>
        <s v="CMP2389"/>
        <s v="CMP2390"/>
        <s v="CMP2391"/>
        <s v="CMP2392"/>
        <s v="CMP2393"/>
        <s v="CMP2394"/>
        <s v="CMP2395"/>
        <s v="CMP2396"/>
        <s v="CMP2397"/>
        <s v="CMP2399"/>
        <s v="CMP2401"/>
        <s v="CMP2402"/>
        <s v="CMP2403"/>
        <s v="CMP2405"/>
        <s v="CMP2407"/>
        <s v="CMP2408"/>
        <s v="CMP2409"/>
        <s v="CMP2410"/>
        <s v="CMP2412"/>
        <s v="CMP2413"/>
        <s v="CMP2415"/>
        <s v="CMP2416"/>
        <s v="CMP2417"/>
        <s v="CMP2418"/>
        <s v="CMP2420"/>
        <s v="CMP2421"/>
        <s v="CMP2422"/>
        <s v="CMP2423"/>
        <s v="CMP2424"/>
        <s v="CMP2425"/>
        <s v="CMP2426"/>
        <s v="CMP2430"/>
        <s v="CMP2436"/>
        <s v="CMP2437"/>
        <s v="CMP2438"/>
        <s v="CMP2441"/>
        <s v="CMP2442"/>
        <s v="CMP2444"/>
        <s v="CMP2445"/>
        <s v="CMP2449"/>
        <s v="CMP2450"/>
        <s v="CMP2451"/>
        <s v="CMP2452"/>
        <s v="CMP2454"/>
        <s v="CMP2455"/>
        <s v="CMP2456"/>
        <s v="CMP2457"/>
        <s v="CMP2458"/>
        <s v="CMP2459"/>
        <s v="CMP2460"/>
        <s v="CMP2461"/>
        <s v="CMP2462"/>
        <s v="CMP2465"/>
        <s v="CMP2466"/>
        <s v="CMP2468"/>
        <s v="CMP2470"/>
        <s v="CMP2471"/>
        <s v="CMP2472"/>
        <s v="CMP2473"/>
        <s v="CMP2474"/>
        <s v="CMP2475"/>
        <s v="CMP2477"/>
        <s v="CMP2479"/>
        <s v="CMP2480"/>
        <s v="CMP2482"/>
        <s v="CMP2484"/>
        <s v="CMP2486"/>
        <s v="CMP2487"/>
        <s v="CMP2489"/>
        <s v="CMP2490"/>
        <s v="CMP2491"/>
        <s v="CMP2492"/>
        <s v="CMP2495"/>
        <s v="CMP2498"/>
      </sharedItems>
    </cacheField>
    <cacheField name="CampaignName" numFmtId="0">
      <sharedItems>
        <s v="Winter Glow"/>
        <s v="Referral"/>
        <s v="Monsoon Care"/>
        <s v="Summer Glow"/>
        <s v="Valentine"/>
        <s v="Black Friday"/>
        <s v="Luxury"/>
        <s v="Festive Beauty"/>
        <s v="New Launch"/>
        <s v="Student"/>
        <s v="Salon Expo"/>
        <s v="Flash Sale"/>
      </sharedItems>
    </cacheField>
    <cacheField name="StartDate" numFmtId="164">
      <sharedItems containsSemiMixedTypes="0" containsDate="1" containsString="0">
        <d v="2025-07-13T00:00:00Z"/>
        <d v="2025-11-20T00:00:00Z"/>
        <d v="2026-01-10T00:00:00Z"/>
        <d v="2025-10-16T00:00:00Z"/>
        <d v="2025-07-17T00:00:00Z"/>
        <d v="2026-02-05T00:00:00Z"/>
        <d v="2025-11-01T00:00:00Z"/>
        <d v="2025-07-28T00:00:00Z"/>
        <d v="2026-05-30T00:00:00Z"/>
        <d v="2026-04-11T00:00:00Z"/>
        <d v="2025-08-04T00:00:00Z"/>
        <d v="2026-05-27T00:00:00Z"/>
        <d v="2026-04-05T00:00:00Z"/>
        <d v="2026-06-27T00:00:00Z"/>
        <d v="2026-01-21T00:00:00Z"/>
        <d v="2025-07-23T00:00:00Z"/>
        <d v="2026-06-07T00:00:00Z"/>
        <d v="2025-12-12T00:00:00Z"/>
        <d v="2025-10-10T00:00:00Z"/>
        <d v="2025-10-21T00:00:00Z"/>
        <d v="2025-09-20T00:00:00Z"/>
        <d v="2026-01-13T00:00:00Z"/>
        <d v="2025-12-28T00:00:00Z"/>
        <d v="2026-02-25T00:00:00Z"/>
        <d v="2026-04-15T00:00:00Z"/>
        <d v="2026-02-01T00:00:00Z"/>
        <d v="2025-11-03T00:00:00Z"/>
        <d v="2026-01-24T00:00:00Z"/>
        <d v="2026-06-19T00:00:00Z"/>
        <d v="2025-08-03T00:00:00Z"/>
        <d v="2026-02-12T00:00:00Z"/>
        <d v="2026-05-01T00:00:00Z"/>
        <d v="2025-08-06T00:00:00Z"/>
        <d v="2026-04-26T00:00:00Z"/>
        <d v="2025-11-07T00:00:00Z"/>
        <d v="2025-11-25T00:00:00Z"/>
        <d v="2026-01-29T00:00:00Z"/>
        <d v="2026-06-21T00:00:00Z"/>
        <d v="2026-02-03T00:00:00Z"/>
        <d v="2026-06-14T00:00:00Z"/>
        <d v="2025-11-17T00:00:00Z"/>
        <d v="2026-01-19T00:00:00Z"/>
        <d v="2025-08-02T00:00:00Z"/>
        <d v="2026-05-02T00:00:00Z"/>
        <d v="2025-08-28T00:00:00Z"/>
        <d v="2026-02-04T00:00:00Z"/>
        <d v="2025-08-19T00:00:00Z"/>
        <d v="2025-09-18T00:00:00Z"/>
        <d v="2025-11-14T00:00:00Z"/>
        <d v="2026-01-06T00:00:00Z"/>
        <d v="2026-02-06T00:00:00Z"/>
        <d v="2025-09-28T00:00:00Z"/>
        <d v="2025-11-26T00:00:00Z"/>
        <d v="2025-12-18T00:00:00Z"/>
        <d v="2026-05-18T00:00:00Z"/>
        <d v="2026-04-19T00:00:00Z"/>
        <d v="2025-09-04T00:00:00Z"/>
        <d v="2026-03-27T00:00:00Z"/>
        <d v="2026-02-15T00:00:00Z"/>
        <d v="2025-09-09T00:00:00Z"/>
        <d v="2025-12-26T00:00:00Z"/>
        <d v="2026-02-26T00:00:00Z"/>
        <d v="2026-03-13T00:00:00Z"/>
        <d v="2026-03-17T00:00:00Z"/>
        <d v="2026-03-12T00:00:00Z"/>
        <d v="2025-12-27T00:00:00Z"/>
        <d v="2026-06-13T00:00:00Z"/>
        <d v="2026-05-29T00:00:00Z"/>
        <d v="2025-08-07T00:00:00Z"/>
        <d v="2026-01-02T00:00:00Z"/>
        <d v="2026-04-09T00:00:00Z"/>
        <d v="2026-05-25T00:00:00Z"/>
        <d v="2025-09-19T00:00:00Z"/>
        <d v="2025-11-04T00:00:00Z"/>
        <d v="2025-07-05T00:00:00Z"/>
        <d v="2026-03-21T00:00:00Z"/>
        <d v="2026-01-30T00:00:00Z"/>
        <d v="2026-01-11T00:00:00Z"/>
        <d v="2026-04-14T00:00:00Z"/>
        <d v="2025-10-24T00:00:00Z"/>
        <d v="2025-08-25T00:00:00Z"/>
        <d v="2025-08-24T00:00:00Z"/>
        <d v="2026-04-17T00:00:00Z"/>
        <d v="2025-12-16T00:00:00Z"/>
        <d v="2026-06-26T00:00:00Z"/>
        <d v="2025-07-29T00:00:00Z"/>
        <d v="2026-06-15T00:00:00Z"/>
        <d v="2025-07-25T00:00:00Z"/>
        <d v="2025-09-12T00:00:00Z"/>
        <d v="2026-01-26T00:00:00Z"/>
        <d v="2025-08-10T00:00:00Z"/>
        <d v="2025-07-08T00:00:00Z"/>
        <d v="2025-10-09T00:00:00Z"/>
        <d v="2026-03-08T00:00:00Z"/>
        <d v="2025-09-30T00:00:00Z"/>
        <d v="2026-06-20T00:00:00Z"/>
        <d v="2026-05-11T00:00:00Z"/>
        <d v="2025-08-12T00:00:00Z"/>
        <d v="2025-08-22T00:00:00Z"/>
        <d v="2025-11-15T00:00:00Z"/>
        <d v="2026-05-14T00:00:00Z"/>
        <d v="2026-04-21T00:00:00Z"/>
        <d v="2025-07-19T00:00:00Z"/>
        <d v="2025-12-24T00:00:00Z"/>
        <d v="2025-12-01T00:00:00Z"/>
        <d v="2026-06-02T00:00:00Z"/>
        <d v="2026-02-20T00:00:00Z"/>
        <d v="2026-06-10T00:00:00Z"/>
        <d v="2025-10-30T00:00:00Z"/>
        <d v="2025-09-11T00:00:00Z"/>
        <d v="2025-11-05T00:00:00Z"/>
        <d v="2025-08-27T00:00:00Z"/>
        <d v="2026-04-20T00:00:00Z"/>
        <d v="2026-04-10T00:00:00Z"/>
        <d v="2026-04-04T00:00:00Z"/>
        <d v="2025-08-17T00:00:00Z"/>
        <d v="2025-11-11T00:00:00Z"/>
        <d v="2025-12-31T00:00:00Z"/>
        <d v="2026-06-12T00:00:00Z"/>
        <d v="2026-01-22T00:00:00Z"/>
        <d v="2025-10-01T00:00:00Z"/>
        <d v="2025-12-02T00:00:00Z"/>
        <d v="2026-06-18T00:00:00Z"/>
        <d v="2025-08-09T00:00:00Z"/>
        <d v="2026-01-14T00:00:00Z"/>
        <d v="2025-12-11T00:00:00Z"/>
        <d v="2026-03-09T00:00:00Z"/>
        <d v="2026-01-28T00:00:00Z"/>
        <d v="2025-09-15T00:00:00Z"/>
        <d v="2025-11-19T00:00:00Z"/>
        <d v="2026-06-22T00:00:00Z"/>
        <d v="2026-02-19T00:00:00Z"/>
        <d v="2025-09-06T00:00:00Z"/>
        <d v="2026-01-20T00:00:00Z"/>
        <d v="2025-11-10T00:00:00Z"/>
        <d v="2026-05-21T00:00:00Z"/>
        <d v="2026-01-23T00:00:00Z"/>
        <d v="2025-11-09T00:00:00Z"/>
        <d v="2025-09-24T00:00:00Z"/>
        <d v="2026-06-08T00:00:00Z"/>
        <d v="2025-08-30T00:00:00Z"/>
        <d v="2026-01-08T00:00:00Z"/>
        <d v="2025-09-29T00:00:00Z"/>
        <d v="2025-10-23T00:00:00Z"/>
        <d v="2026-05-13T00:00:00Z"/>
        <d v="2026-04-03T00:00:00Z"/>
        <d v="2026-05-17T00:00:00Z"/>
        <d v="2025-12-17T00:00:00Z"/>
        <d v="2026-04-02T00:00:00Z"/>
        <d v="2025-08-05T00:00:00Z"/>
        <d v="2026-01-01T00:00:00Z"/>
        <d v="2025-08-08T00:00:00Z"/>
        <d v="2025-10-04T00:00:00Z"/>
        <d v="2026-05-07T00:00:00Z"/>
        <d v="2026-06-01T00:00:00Z"/>
        <d v="2026-04-13T00:00:00Z"/>
        <d v="2026-03-24T00:00:00Z"/>
        <d v="2025-10-26T00:00:00Z"/>
        <d v="2025-11-12T00:00:00Z"/>
        <d v="2025-10-29T00:00:00Z"/>
        <d v="2026-01-27T00:00:00Z"/>
        <d v="2026-05-20T00:00:00Z"/>
        <d v="2026-06-24T00:00:00Z"/>
        <d v="2026-01-07T00:00:00Z"/>
        <d v="2025-12-25T00:00:00Z"/>
        <d v="2026-01-03T00:00:00Z"/>
        <d v="2025-09-05T00:00:00Z"/>
        <d v="2026-03-16T00:00:00Z"/>
        <d v="2026-05-05T00:00:00Z"/>
        <d v="2026-01-18T00:00:00Z"/>
        <d v="2026-03-26T00:00:00Z"/>
        <d v="2025-08-26T00:00:00Z"/>
        <d v="2025-11-08T00:00:00Z"/>
        <d v="2025-12-07T00:00:00Z"/>
        <d v="2026-05-23T00:00:00Z"/>
        <d v="2026-05-06T00:00:00Z"/>
        <d v="2025-08-13T00:00:00Z"/>
        <d v="2025-12-05T00:00:00Z"/>
        <d v="2025-08-14T00:00:00Z"/>
        <d v="2026-05-24T00:00:00Z"/>
        <d v="2026-02-28T00:00:00Z"/>
        <d v="2026-04-22T00:00:00Z"/>
        <d v="2025-12-09T00:00:00Z"/>
        <d v="2026-03-14T00:00:00Z"/>
        <d v="2025-07-26T00:00:00Z"/>
        <d v="2026-06-09T00:00:00Z"/>
        <d v="2025-11-22T00:00:00Z"/>
        <d v="2025-12-10T00:00:00Z"/>
        <d v="2025-09-08T00:00:00Z"/>
        <d v="2026-06-28T00:00:00Z"/>
        <d v="2025-07-02T00:00:00Z"/>
        <d v="2025-12-14T00:00:00Z"/>
        <d v="2025-10-31T00:00:00Z"/>
        <d v="2026-03-03T00:00:00Z"/>
        <d v="2026-02-21T00:00:00Z"/>
        <d v="2026-01-04T00:00:00Z"/>
        <d v="2026-03-29T00:00:00Z"/>
        <d v="2025-11-24T00:00:00Z"/>
        <d v="2026-02-13T00:00:00Z"/>
        <d v="2026-04-29T00:00:00Z"/>
        <d v="2025-12-03T00:00:00Z"/>
        <d v="2026-03-10T00:00:00Z"/>
        <d v="2025-09-22T00:00:00Z"/>
        <d v="2026-06-16T00:00:00Z"/>
        <d v="2025-10-05T00:00:00Z"/>
        <d v="2026-04-28T00:00:00Z"/>
        <d v="2025-07-21T00:00:00Z"/>
        <d v="2025-09-25T00:00:00Z"/>
        <d v="2026-01-17T00:00:00Z"/>
        <d v="2025-12-30T00:00:00Z"/>
        <d v="2025-12-20T00:00:00Z"/>
        <d v="2026-04-07T00:00:00Z"/>
        <d v="2026-03-25T00:00:00Z"/>
        <d v="2026-05-26T00:00:00Z"/>
        <d v="2026-02-02T00:00:00Z"/>
        <d v="2026-01-05T00:00:00Z"/>
        <d v="2025-07-18T00:00:00Z"/>
        <d v="2025-12-15T00:00:00Z"/>
        <d v="2026-06-17T00:00:00Z"/>
        <d v="2025-07-12T00:00:00Z"/>
        <d v="2025-07-03T00:00:00Z"/>
        <d v="2025-11-30T00:00:00Z"/>
        <d v="2026-06-04T00:00:00Z"/>
        <d v="2025-08-01T00:00:00Z"/>
        <d v="2025-10-27T00:00:00Z"/>
        <d v="2025-09-21T00:00:00Z"/>
        <d v="2025-07-24T00:00:00Z"/>
        <d v="2025-07-22T00:00:00Z"/>
        <d v="2025-07-15T00:00:00Z"/>
        <d v="2026-03-28T00:00:00Z"/>
        <d v="2026-03-01T00:00:00Z"/>
        <d v="2025-07-30T00:00:00Z"/>
        <d v="2025-11-18T00:00:00Z"/>
        <d v="2025-12-29T00:00:00Z"/>
        <d v="2025-12-23T00:00:00Z"/>
        <d v="2025-10-07T00:00:00Z"/>
        <d v="2025-10-28T00:00:00Z"/>
        <d v="2025-10-14T00:00:00Z"/>
        <d v="2026-04-18T00:00:00Z"/>
        <d v="2026-06-11T00:00:00Z"/>
        <d v="2026-02-11T00:00:00Z"/>
        <d v="2025-10-17T00:00:00Z"/>
        <d v="2025-08-18T00:00:00Z"/>
        <d v="2026-03-19T00:00:00Z"/>
        <d v="2025-07-20T00:00:00Z"/>
        <d v="2026-03-02T00:00:00Z"/>
        <d v="2025-08-11T00:00:00Z"/>
        <d v="2026-05-04T00:00:00Z"/>
        <d v="2025-09-03T00:00:00Z"/>
        <d v="2025-07-27T00:00:00Z"/>
        <d v="2025-10-08T00:00:00Z"/>
        <d v="2026-04-30T00:00:00Z"/>
        <d v="2026-03-23T00:00:00Z"/>
        <d v="2026-05-31T00:00:00Z"/>
        <d v="2025-10-19T00:00:00Z"/>
        <d v="2025-12-04T00:00:00Z"/>
        <d v="2026-02-10T00:00:00Z"/>
        <d v="2026-03-15T00:00:00Z"/>
        <d v="2026-04-16T00:00:00Z"/>
        <d v="2026-04-25T00:00:00Z"/>
        <d v="2026-02-08T00:00:00Z"/>
        <d v="2026-05-12T00:00:00Z"/>
        <d v="2026-04-08T00:00:00Z"/>
        <d v="2025-08-23T00:00:00Z"/>
        <d v="2026-02-22T00:00:00Z"/>
        <d v="2026-06-25T00:00:00Z"/>
        <d v="2026-02-16T00:00:00Z"/>
        <d v="2025-12-19T00:00:00Z"/>
        <d v="2025-10-11T00:00:00Z"/>
        <d v="2025-11-23T00:00:00Z"/>
        <d v="2025-09-26T00:00:00Z"/>
        <d v="2026-03-05T00:00:00Z"/>
        <d v="2025-09-10T00:00:00Z"/>
        <d v="2025-09-01T00:00:00Z"/>
        <d v="2026-01-16T00:00:00Z"/>
        <d v="2026-02-27T00:00:00Z"/>
        <d v="2025-10-06T00:00:00Z"/>
        <d v="2025-11-29T00:00:00Z"/>
        <d v="2026-02-18T00:00:00Z"/>
        <d v="2025-10-22T00:00:00Z"/>
        <d v="2026-02-23T00:00:00Z"/>
        <d v="2025-12-13T00:00:00Z"/>
        <d v="2026-03-06T00:00:00Z"/>
        <d v="2025-09-17T00:00:00Z"/>
        <d v="2025-08-16T00:00:00Z"/>
        <d v="2026-05-09T00:00:00Z"/>
        <d v="2025-09-16T00:00:00Z"/>
        <d v="2025-09-02T00:00:00Z"/>
        <d v="2026-06-06T00:00:00Z"/>
        <d v="2026-06-30T00:00:00Z"/>
        <d v="2025-07-01T00:00:00Z"/>
        <d v="2026-02-07T00:00:00Z"/>
        <d v="2026-01-09T00:00:00Z"/>
        <d v="2025-08-31T00:00:00Z"/>
        <d v="2025-12-06T00:00:00Z"/>
        <d v="2026-05-22T00:00:00Z"/>
        <d v="2026-02-24T00:00:00Z"/>
        <d v="2025-08-21T00:00:00Z"/>
        <d v="2025-11-28T00:00:00Z"/>
        <d v="2025-07-11T00:00:00Z"/>
        <d v="2026-01-12T00:00:00Z"/>
        <d v="2025-12-08T00:00:00Z"/>
        <d v="2026-02-17T00:00:00Z"/>
        <d v="2026-05-10T00:00:00Z"/>
        <d v="2025-07-10T00:00:00Z"/>
        <d v="2025-10-03T00:00:00Z"/>
        <d v="2025-07-09T00:00:00Z"/>
        <d v="2026-04-06T00:00:00Z"/>
        <d v="2026-06-23T00:00:00Z"/>
        <d v="2026-04-01T00:00:00Z"/>
        <d v="2025-09-13T00:00:00Z"/>
        <d v="2026-01-15T00:00:00Z"/>
        <d v="2026-05-28T00:00:00Z"/>
        <d v="2026-03-20T00:00:00Z"/>
        <d v="2025-08-29T00:00:00Z"/>
        <d v="2025-07-14T00:00:00Z"/>
        <d v="2025-12-22T00:00:00Z"/>
        <d v="2026-03-31T00:00:00Z"/>
        <d v="2025-11-27T00:00:00Z"/>
        <d v="2025-11-16T00:00:00Z"/>
        <d v="2026-02-09T00:00:00Z"/>
        <d v="2026-05-16T00:00:00Z"/>
        <d v="2025-07-04T00:00:00Z"/>
        <d v="2026-03-04T00:00:00Z"/>
        <d v="2026-05-15T00:00:00Z"/>
        <d v="2025-10-25T00:00:00Z"/>
        <d v="2025-09-27T00:00:00Z"/>
        <d v="2026-05-03T00:00:00Z"/>
        <d v="2025-07-06T00:00:00Z"/>
        <d v="2026-04-24T00:00:00Z"/>
        <d v="2026-03-11T00:00:00Z"/>
        <d v="2025-08-15T00:00:00Z"/>
        <d v="2025-07-31T00:00:00Z"/>
        <d v="2026-05-08T00:00:00Z"/>
        <d v="2026-03-30T00:00:00Z"/>
        <d v="2025-12-21T00:00:00Z"/>
        <d v="2025-09-14T00:00:00Z"/>
        <d v="2025-10-02T00:00:00Z"/>
        <d v="2026-06-05T00:00:00Z"/>
        <d v="2025-10-20T00:00:00Z"/>
        <d v="2026-03-07T00:00:00Z"/>
        <d v="2025-10-15T00:00:00Z"/>
        <d v="2025-11-06T00:00:00Z"/>
        <d v="2025-10-13T00:00:00Z"/>
        <d v="2026-02-14T00:00:00Z"/>
        <d v="2026-01-31T00:00:00Z"/>
        <d v="2026-03-18T00:00:00Z"/>
        <d v="2026-04-23T00:00:00Z"/>
      </sharedItems>
    </cacheField>
    <cacheField name="EndDate" numFmtId="164">
      <sharedItems containsSemiMixedTypes="0" containsDate="1" containsString="0">
        <d v="2025-09-01T00:00:00Z"/>
        <d v="2026-01-13T00:00:00Z"/>
        <d v="2026-01-18T00:00:00Z"/>
        <d v="2025-11-30T00:00:00Z"/>
        <d v="2025-09-09T00:00:00Z"/>
        <d v="2026-04-06T00:00:00Z"/>
        <d v="2025-12-30T00:00:00Z"/>
        <d v="2025-09-13T00:00:00Z"/>
        <d v="2025-09-12T00:00:00Z"/>
        <d v="2026-07-06T00:00:00Z"/>
        <d v="2026-05-26T00:00:00Z"/>
        <d v="2025-09-19T00:00:00Z"/>
        <d v="2026-06-18T00:00:00Z"/>
        <d v="2026-05-23T00:00:00Z"/>
        <d v="2026-07-27T00:00:00Z"/>
        <d v="2026-03-08T00:00:00Z"/>
        <d v="2025-10-22T00:00:00Z"/>
        <d v="2025-11-04T00:00:00Z"/>
        <d v="2025-11-09T00:00:00Z"/>
        <d v="2026-03-01T00:00:00Z"/>
        <d v="2026-01-19T00:00:00Z"/>
        <d v="2026-05-01T00:00:00Z"/>
        <d v="2025-10-17T00:00:00Z"/>
        <d v="2026-03-28T00:00:00Z"/>
        <d v="2025-12-29T00:00:00Z"/>
        <d v="2026-03-12T00:00:00Z"/>
        <d v="2026-07-03T00:00:00Z"/>
        <d v="2025-08-31T00:00:00Z"/>
        <d v="2026-03-06T00:00:00Z"/>
        <d v="2026-06-03T00:00:00Z"/>
        <d v="2025-08-12T00:00:00Z"/>
        <d v="2025-12-26T00:00:00Z"/>
        <d v="2026-02-22T00:00:00Z"/>
        <d v="2026-07-13T00:00:00Z"/>
        <d v="2026-03-22T00:00:00Z"/>
        <d v="2026-08-09T00:00:00Z"/>
        <d v="2026-01-12T00:00:00Z"/>
        <d v="2026-01-22T00:00:00Z"/>
        <d v="2025-09-14T00:00:00Z"/>
        <d v="2026-05-06T00:00:00Z"/>
        <d v="2025-10-24T00:00:00Z"/>
        <d v="2025-10-08T00:00:00Z"/>
        <d v="2025-11-02T00:00:00Z"/>
        <d v="2025-11-18T00:00:00Z"/>
        <d v="2026-01-28T00:00:00Z"/>
        <d v="2026-02-16T00:00:00Z"/>
        <d v="2025-10-09T00:00:00Z"/>
        <d v="2025-12-06T00:00:00Z"/>
        <d v="2026-02-08T00:00:00Z"/>
        <d v="2026-06-21T00:00:00Z"/>
        <d v="2026-02-01T00:00:00Z"/>
        <d v="2026-06-02T00:00:00Z"/>
        <d v="2025-10-16T00:00:00Z"/>
        <d v="2025-10-19T00:00:00Z"/>
        <d v="2026-04-01T00:00:00Z"/>
        <d v="2026-03-04T00:00:00Z"/>
        <d v="2025-11-06T00:00:00Z"/>
        <d v="2026-03-29T00:00:00Z"/>
        <d v="2026-04-23T00:00:00Z"/>
        <d v="2026-04-24T00:00:00Z"/>
        <d v="2026-05-08T00:00:00Z"/>
        <d v="2026-04-07T00:00:00Z"/>
        <d v="2026-01-27T00:00:00Z"/>
        <d v="2026-08-05T00:00:00Z"/>
        <d v="2025-09-07T00:00:00Z"/>
        <d v="2026-02-06T00:00:00Z"/>
        <d v="2026-04-25T00:00:00Z"/>
        <d v="2026-04-29T00:00:00Z"/>
        <d v="2026-07-16T00:00:00Z"/>
        <d v="2025-10-20T00:00:00Z"/>
        <d v="2025-11-16T00:00:00Z"/>
        <d v="2026-03-11T00:00:00Z"/>
        <d v="2026-01-23T00:00:00Z"/>
        <d v="2026-05-07T00:00:00Z"/>
        <d v="2025-11-15T00:00:00Z"/>
        <d v="2025-10-06T00:00:00Z"/>
        <d v="2025-09-17T00:00:00Z"/>
        <d v="2026-01-07T00:00:00Z"/>
        <d v="2025-11-01T00:00:00Z"/>
        <d v="2026-07-22T00:00:00Z"/>
        <d v="2025-08-30T00:00:00Z"/>
        <d v="2026-07-30T00:00:00Z"/>
        <d v="2025-10-27T00:00:00Z"/>
        <d v="2026-02-07T00:00:00Z"/>
        <d v="2025-09-10T00:00:00Z"/>
        <d v="2025-07-24T00:00:00Z"/>
        <d v="2026-04-13T00:00:00Z"/>
        <d v="2026-07-19T00:00:00Z"/>
        <d v="2026-08-18T00:00:00Z"/>
        <d v="2026-05-03T00:00:00Z"/>
        <d v="2025-08-26T00:00:00Z"/>
        <d v="2025-12-19T00:00:00Z"/>
        <d v="2026-06-10T00:00:00Z"/>
        <d v="2026-06-13T00:00:00Z"/>
        <d v="2026-06-27T00:00:00Z"/>
        <d v="2025-12-28T00:00:00Z"/>
        <d v="2026-07-02T00:00:00Z"/>
        <d v="2026-03-02T00:00:00Z"/>
        <d v="2025-09-20T00:00:00Z"/>
        <d v="2026-05-20T00:00:00Z"/>
        <d v="2026-04-04T00:00:00Z"/>
        <d v="2026-07-05T00:00:00Z"/>
        <d v="2025-12-13T00:00:00Z"/>
        <d v="2025-08-07T00:00:00Z"/>
        <d v="2026-06-05T00:00:00Z"/>
        <d v="2025-12-04T00:00:00Z"/>
        <d v="2026-05-12T00:00:00Z"/>
        <d v="2025-08-22T00:00:00Z"/>
        <d v="2026-02-21T00:00:00Z"/>
        <d v="2026-07-04T00:00:00Z"/>
        <d v="2026-02-17T00:00:00Z"/>
        <d v="2026-01-24T00:00:00Z"/>
        <d v="2025-10-05T00:00:00Z"/>
        <d v="2025-12-25T00:00:00Z"/>
        <d v="2026-07-09T00:00:00Z"/>
        <d v="2025-08-27T00:00:00Z"/>
        <d v="2026-02-14T00:00:00Z"/>
        <d v="2026-03-21T00:00:00Z"/>
        <d v="2026-03-20T00:00:00Z"/>
        <d v="2026-05-30T00:00:00Z"/>
        <d v="2025-09-27T00:00:00Z"/>
        <d v="2025-12-17T00:00:00Z"/>
        <d v="2026-08-07T00:00:00Z"/>
        <d v="2026-02-25T00:00:00Z"/>
        <d v="2026-06-26T00:00:00Z"/>
        <d v="2025-08-28T00:00:00Z"/>
        <d v="2026-06-30T00:00:00Z"/>
        <d v="2025-11-22T00:00:00Z"/>
        <d v="2025-12-23T00:00:00Z"/>
        <d v="2025-10-04T00:00:00Z"/>
        <d v="2025-10-03T00:00:00Z"/>
        <d v="2025-09-21T00:00:00Z"/>
        <d v="2026-02-24T00:00:00Z"/>
        <d v="2026-02-03T00:00:00Z"/>
        <d v="2026-08-03T00:00:00Z"/>
        <d v="2025-12-12T00:00:00Z"/>
        <d v="2026-04-09T00:00:00Z"/>
        <d v="2026-05-28T00:00:00Z"/>
        <d v="2026-05-22T00:00:00Z"/>
        <d v="2026-05-24T00:00:00Z"/>
        <d v="2025-12-22T00:00:00Z"/>
        <d v="2025-09-22T00:00:00Z"/>
        <d v="2026-05-10T00:00:00Z"/>
        <d v="2025-10-07T00:00:00Z"/>
        <d v="2025-12-07T00:00:00Z"/>
        <d v="2026-06-09T00:00:00Z"/>
        <d v="2025-08-29T00:00:00Z"/>
        <d v="2026-06-17T00:00:00Z"/>
        <d v="2026-05-21T00:00:00Z"/>
        <d v="2026-04-14T00:00:00Z"/>
        <d v="2026-06-01T00:00:00Z"/>
        <d v="2026-05-15T00:00:00Z"/>
        <d v="2026-04-08T00:00:00Z"/>
        <d v="2025-11-05T00:00:00Z"/>
        <d v="2026-02-28T00:00:00Z"/>
        <d v="2025-09-11T00:00:00Z"/>
        <d v="2026-01-29T00:00:00Z"/>
        <d v="2026-01-30T00:00:00Z"/>
        <d v="2026-03-26T00:00:00Z"/>
        <d v="2025-11-21T00:00:00Z"/>
        <d v="2026-04-05T00:00:00Z"/>
        <d v="2026-01-17T00:00:00Z"/>
        <d v="2026-07-12T00:00:00Z"/>
        <d v="2026-06-08T00:00:00Z"/>
        <d v="2026-05-09T00:00:00Z"/>
        <d v="2025-09-18T00:00:00Z"/>
        <d v="2025-12-27T00:00:00Z"/>
        <d v="2026-02-20T00:00:00Z"/>
        <d v="2025-08-20T00:00:00Z"/>
        <d v="2026-03-07T00:00:00Z"/>
        <d v="2025-09-16T00:00:00Z"/>
        <d v="2025-11-29T00:00:00Z"/>
        <d v="2026-06-07T00:00:00Z"/>
        <d v="2026-01-26T00:00:00Z"/>
        <d v="2025-08-06T00:00:00Z"/>
        <d v="2026-08-02T00:00:00Z"/>
        <d v="2026-01-01T00:00:00Z"/>
        <d v="2026-04-26T00:00:00Z"/>
        <d v="2026-07-26T00:00:00Z"/>
        <d v="2026-07-08T00:00:00Z"/>
        <d v="2026-08-19T00:00:00Z"/>
        <d v="2025-09-06T00:00:00Z"/>
        <d v="2025-07-29T00:00:00Z"/>
        <d v="2026-01-09T00:00:00Z"/>
        <d v="2025-09-24T00:00:00Z"/>
        <d v="2025-12-24T00:00:00Z"/>
        <d v="2026-07-01T00:00:00Z"/>
        <d v="2025-11-14T00:00:00Z"/>
        <d v="2026-04-19T00:00:00Z"/>
        <d v="2026-03-27T00:00:00Z"/>
        <d v="2025-08-18T00:00:00Z"/>
        <d v="2025-12-08T00:00:00Z"/>
        <d v="2026-06-19T00:00:00Z"/>
        <d v="2026-01-06T00:00:00Z"/>
        <d v="2026-03-17T00:00:00Z"/>
        <d v="2025-09-28T00:00:00Z"/>
        <d v="2025-11-27T00:00:00Z"/>
        <d v="2026-04-12T00:00:00Z"/>
        <d v="2025-09-03T00:00:00Z"/>
        <d v="2025-10-02T00:00:00Z"/>
        <d v="2025-12-18T00:00:00Z"/>
        <d v="2026-02-05T00:00:00Z"/>
        <d v="2026-02-02T00:00:00Z"/>
        <d v="2026-04-21T00:00:00Z"/>
        <d v="2026-02-11T00:00:00Z"/>
        <d v="2025-11-08T00:00:00Z"/>
        <d v="2026-02-18T00:00:00Z"/>
        <d v="2026-01-16T00:00:00Z"/>
        <d v="2025-08-19T00:00:00Z"/>
        <d v="2025-11-03T00:00:00Z"/>
        <d v="2025-08-08T00:00:00Z"/>
        <d v="2026-08-12T00:00:00Z"/>
        <d v="2026-01-03T00:00:00Z"/>
        <d v="2026-05-25T00:00:00Z"/>
        <d v="2025-12-01T00:00:00Z"/>
        <d v="2026-03-10T00:00:00Z"/>
        <d v="2025-08-04T00:00:00Z"/>
        <d v="2026-05-13T00:00:00Z"/>
        <d v="2026-01-02T00:00:00Z"/>
        <d v="2025-10-30T00:00:00Z"/>
        <d v="2025-08-21T00:00:00Z"/>
        <d v="2026-01-11T00:00:00Z"/>
        <d v="2025-12-09T00:00:00Z"/>
        <d v="2026-01-05T00:00:00Z"/>
        <d v="2025-12-03T00:00:00Z"/>
        <d v="2026-07-20T00:00:00Z"/>
        <d v="2026-06-16T00:00:00Z"/>
        <d v="2026-07-24T00:00:00Z"/>
        <d v="2025-11-13T00:00:00Z"/>
        <d v="2026-07-31T00:00:00Z"/>
        <d v="2026-03-03T00:00:00Z"/>
        <d v="2025-09-29T00:00:00Z"/>
        <d v="2026-01-10T00:00:00Z"/>
        <d v="2025-11-12T00:00:00Z"/>
        <d v="2025-07-30T00:00:00Z"/>
        <d v="2026-02-10T00:00:00Z"/>
        <d v="2026-06-11T00:00:00Z"/>
        <d v="2026-05-17T00:00:00Z"/>
        <d v="2026-06-28T00:00:00Z"/>
        <d v="2025-09-05T00:00:00Z"/>
        <d v="2026-02-13T00:00:00Z"/>
        <d v="2026-05-11T00:00:00Z"/>
        <d v="2025-09-23T00:00:00Z"/>
        <d v="2025-11-24T00:00:00Z"/>
        <d v="2025-11-28T00:00:00Z"/>
        <d v="2026-05-04T00:00:00Z"/>
        <d v="2026-05-14T00:00:00Z"/>
        <d v="2026-05-18T00:00:00Z"/>
        <d v="2026-02-15T00:00:00Z"/>
        <d v="2026-08-06T00:00:00Z"/>
        <d v="2026-04-22T00:00:00Z"/>
        <d v="2026-04-27T00:00:00Z"/>
        <d v="2026-03-25T00:00:00Z"/>
        <d v="2026-03-05T00:00:00Z"/>
        <d v="2026-04-17T00:00:00Z"/>
        <d v="2026-08-14T00:00:00Z"/>
        <d v="2025-12-14T00:00:00Z"/>
        <d v="2026-07-17T00:00:00Z"/>
        <d v="2026-03-16T00:00:00Z"/>
        <d v="2026-06-23T00:00:00Z"/>
        <d v="2026-06-06T00:00:00Z"/>
        <d v="2025-07-16T00:00:00Z"/>
        <d v="2026-08-13T00:00:00Z"/>
        <d v="2025-11-19T00:00:00Z"/>
        <d v="2026-02-09T00:00:00Z"/>
        <d v="2026-04-16T00:00:00Z"/>
        <d v="2026-01-15T00:00:00Z"/>
        <d v="2025-10-26T00:00:00Z"/>
        <d v="2025-10-13T00:00:00Z"/>
        <d v="2025-10-10T00:00:00Z"/>
        <d v="2026-06-24T00:00:00Z"/>
        <d v="2025-10-01T00:00:00Z"/>
        <d v="2025-10-12T00:00:00Z"/>
        <d v="2025-12-21T00:00:00Z"/>
        <d v="2025-12-10T00:00:00Z"/>
        <d v="2026-03-18T00:00:00Z"/>
        <d v="2026-05-27T00:00:00Z"/>
        <d v="2026-07-10T00:00:00Z"/>
        <d v="2025-10-15T00:00:00Z"/>
        <d v="2025-10-18T00:00:00Z"/>
        <d v="2026-08-04T00:00:00Z"/>
        <d v="2026-07-15T00:00:00Z"/>
        <d v="2025-11-26T00:00:00Z"/>
        <d v="2025-07-20T00:00:00Z"/>
        <d v="2026-01-31T00:00:00Z"/>
        <d v="2026-06-22T00:00:00Z"/>
        <d v="2026-03-30T00:00:00Z"/>
        <d v="2025-11-25T00:00:00Z"/>
        <d v="2026-05-31T00:00:00Z"/>
        <d v="2026-06-15T00:00:00Z"/>
        <d v="2025-09-30T00:00:00Z"/>
        <d v="2025-08-01T00:00:00Z"/>
        <d v="2025-11-10T00:00:00Z"/>
        <d v="2025-10-11T00:00:00Z"/>
        <d v="2025-08-25T00:00:00Z"/>
        <d v="2026-06-12T00:00:00Z"/>
        <d v="2026-01-20T00:00:00Z"/>
        <d v="2025-07-19T00:00:00Z"/>
        <d v="2026-04-15T00:00:00Z"/>
        <d v="2026-01-21T00:00:00Z"/>
        <d v="2025-10-23T00:00:00Z"/>
        <d v="2026-03-19T00:00:00Z"/>
        <d v="2025-11-20T00:00:00Z"/>
        <d v="2026-02-26T00:00:00Z"/>
        <d v="2026-04-18T00:00:00Z"/>
        <d v="2025-12-02T00:00:00Z"/>
        <d v="2025-09-15T00:00:00Z"/>
        <d v="2026-02-23T00:00:00Z"/>
        <d v="2026-07-29T00:00:00Z"/>
        <d v="2026-03-09T00:00:00Z"/>
        <d v="2025-12-11T00:00:00Z"/>
        <d v="2026-06-04T00:00:00Z"/>
        <d v="2025-08-16T00:00:00Z"/>
        <d v="2026-06-25T00:00:00Z"/>
        <d v="2025-12-16T00:00:00Z"/>
        <d v="2025-09-02T00:00:00Z"/>
        <d v="2025-12-15T00:00:00Z"/>
        <d v="2026-04-28T00:00:00Z"/>
        <d v="2025-08-17T00:00:00Z"/>
        <d v="2026-07-18T00:00:00Z"/>
        <d v="2026-04-30T00:00:00Z"/>
        <d v="2026-03-14T00:00:00Z"/>
        <d v="2026-03-13T00:00:00Z"/>
        <d v="2025-10-29T00:00:00Z"/>
        <d v="2026-07-11T00:00:00Z"/>
        <d v="2025-07-18T00:00:00Z"/>
        <d v="2026-02-27T00:00:00Z"/>
        <d v="2026-05-19T00:00:00Z"/>
        <d v="2026-01-25T00:00:00Z"/>
        <d v="2025-10-14T00:00:00Z"/>
        <d v="2026-06-29T00:00:00Z"/>
        <d v="2026-08-21T00:00:00Z"/>
        <d v="2026-08-15T00:00:00Z"/>
        <d v="2026-04-11T00:00:00Z"/>
        <d v="2026-03-31T00:00:00Z"/>
        <d v="2026-07-07T00:00:00Z"/>
        <d v="2026-03-15T00:00:00Z"/>
        <d v="2026-05-29T00:00:00Z"/>
        <d v="2025-12-31T00:00:00Z"/>
        <d v="2025-07-11T00:00:00Z"/>
        <d v="2025-08-24T00:00:00Z"/>
        <d v="2025-08-11T00:00:00Z"/>
        <d v="2025-07-17T00:00:00Z"/>
        <d v="2025-12-20T00:00:00Z"/>
        <d v="2026-07-23T00:00:00Z"/>
        <d v="2026-07-25T00:00:00Z"/>
        <d v="2026-02-12T00:00:00Z"/>
        <d v="2025-09-26T00:00:00Z"/>
        <d v="2026-08-20T00:00:00Z"/>
        <d v="2025-10-31T00:00:00Z"/>
        <d v="2025-08-02T00:00:00Z"/>
        <d v="2025-09-08T00:00:00Z"/>
        <d v="2026-01-08T00:00:00Z"/>
        <d v="2026-02-04T00:00:00Z"/>
        <d v="2025-08-03T00:00:00Z"/>
        <d v="2025-10-21T00:00:00Z"/>
        <d v="2025-08-15T00:00:00Z"/>
        <d v="2025-07-26T00:00:00Z"/>
        <d v="2025-07-31T00:00:00Z"/>
        <d v="2025-10-28T00:00:00Z"/>
        <d v="2026-06-14T00:00:00Z"/>
        <d v="2026-05-05T00:00:00Z"/>
        <d v="2025-08-23T00:00:00Z"/>
        <d v="2025-07-28T00:00:00Z"/>
        <d v="2025-07-08T00:00:00Z"/>
        <d v="2026-03-23T00:00:00Z"/>
        <d v="2026-05-16T00:00:00Z"/>
        <d v="2026-03-24T00:00:00Z"/>
        <d v="2025-09-25T00:00:00Z"/>
        <d v="2026-08-16T00:00:00Z"/>
      </sharedItems>
    </cacheField>
    <cacheField name="Channel" numFmtId="0">
      <sharedItems>
        <s v="Social Media"/>
        <s v="Email"/>
        <s v="Influencer"/>
      </sharedItems>
    </cacheField>
    <cacheField name="Spend" numFmtId="165">
      <sharedItems containsSemiMixedTypes="0" containsString="0" containsNumber="1" containsInteger="1">
        <n v="25024.0"/>
        <n v="27425.0"/>
        <n v="20589.0"/>
        <n v="11248.0"/>
        <n v="12836.0"/>
        <n v="24071.0"/>
        <n v="21091.0"/>
        <n v="13327.0"/>
        <n v="49824.0"/>
        <n v="2983.0"/>
        <n v="4786.0"/>
        <n v="10207.0"/>
        <n v="17482.0"/>
        <n v="26825.0"/>
        <n v="43759.0"/>
        <n v="42141.0"/>
        <n v="16788.0"/>
        <n v="28376.0"/>
        <n v="35952.0"/>
        <n v="3300.0"/>
        <n v="24605.0"/>
        <n v="38108.0"/>
        <n v="37507.0"/>
        <n v="15279.0"/>
        <n v="22890.0"/>
        <n v="4609.0"/>
        <n v="21901.0"/>
        <n v="18562.0"/>
        <n v="5339.0"/>
        <n v="10472.0"/>
        <n v="19552.0"/>
        <n v="18613.0"/>
        <n v="45569.0"/>
        <n v="26087.0"/>
        <n v="2159.0"/>
        <n v="23300.0"/>
        <n v="26298.0"/>
        <n v="18383.0"/>
        <n v="19137.0"/>
        <n v="8897.0"/>
        <n v="10695.0"/>
        <n v="1920.0"/>
        <n v="17783.0"/>
        <n v="11165.0"/>
        <n v="17713.0"/>
        <n v="10314.0"/>
        <n v="1684.0"/>
        <n v="2561.0"/>
        <n v="14710.0"/>
        <n v="38600.0"/>
        <n v="2277.0"/>
        <n v="13129.0"/>
        <n v="11781.0"/>
        <n v="3914.0"/>
        <n v="33544.0"/>
        <n v="8009.0"/>
        <n v="17702.0"/>
        <n v="11862.0"/>
        <n v="19336.0"/>
        <n v="31435.0"/>
        <n v="1565.0"/>
        <n v="3558.0"/>
        <n v="41996.0"/>
        <n v="2848.0"/>
        <n v="4198.0"/>
        <n v="2843.0"/>
        <n v="20065.0"/>
        <n v="8332.0"/>
        <n v="10800.0"/>
        <n v="59251.0"/>
        <n v="1146.0"/>
        <n v="4389.0"/>
        <n v="10679.0"/>
        <n v="8157.0"/>
        <n v="9847.0"/>
        <n v="4154.0"/>
        <n v="15203.0"/>
        <n v="21399.0"/>
        <n v="4204.0"/>
        <n v="5672.0"/>
        <n v="6022.0"/>
        <n v="13246.0"/>
        <n v="12581.0"/>
        <n v="2784.0"/>
        <n v="50399.0"/>
        <n v="57539.0"/>
        <n v="21729.0"/>
        <n v="25649.0"/>
        <n v="2382.0"/>
        <n v="893.0"/>
        <n v="38338.0"/>
        <n v="12118.0"/>
        <n v="15647.0"/>
        <n v="20171.0"/>
        <n v="3635.0"/>
        <n v="1162.0"/>
        <n v="19580.0"/>
        <n v="3256.0"/>
        <n v="14659.0"/>
        <n v="8726.0"/>
        <n v="5731.0"/>
        <n v="10037.0"/>
        <n v="1281.0"/>
        <n v="1589.0"/>
        <n v="1059.0"/>
        <n v="21072.0"/>
        <n v="21069.0"/>
        <n v="32998.0"/>
        <n v="2063.0"/>
        <n v="12873.0"/>
        <n v="7281.0"/>
        <n v="13298.0"/>
        <n v="22887.0"/>
        <n v="4151.0"/>
        <n v="30562.0"/>
        <n v="38638.0"/>
        <n v="6271.0"/>
        <n v="15462.0"/>
        <n v="11096.0"/>
        <n v="27524.0"/>
        <n v="16194.0"/>
        <n v="9022.0"/>
        <n v="3672.0"/>
        <n v="51518.0"/>
        <n v="23222.0"/>
        <n v="24262.0"/>
        <n v="808.0"/>
        <n v="46387.0"/>
        <n v="39740.0"/>
        <n v="11091.0"/>
        <n v="24063.0"/>
        <n v="1744.0"/>
        <n v="12983.0"/>
        <n v="2761.0"/>
        <n v="23338.0"/>
        <n v="2696.0"/>
        <n v="12822.0"/>
        <n v="9303.0"/>
        <n v="24050.0"/>
        <n v="24988.0"/>
        <n v="8932.0"/>
        <n v="16237.0"/>
        <n v="12948.0"/>
        <n v="6971.0"/>
        <n v="6672.0"/>
        <n v="13864.0"/>
        <n v="16251.0"/>
        <n v="5931.0"/>
        <n v="10572.0"/>
        <n v="2663.0"/>
        <n v="45997.0"/>
        <n v="21066.0"/>
        <n v="7213.0"/>
        <n v="1604.0"/>
        <n v="14308.0"/>
        <n v="3135.0"/>
        <n v="18350.0"/>
        <n v="1638.0"/>
        <n v="2343.0"/>
        <n v="21244.0"/>
        <n v="59975.0"/>
        <n v="45031.0"/>
        <n v="5148.0"/>
        <n v="38286.0"/>
        <n v="21789.0"/>
        <n v="9984.0"/>
        <n v="13875.0"/>
        <n v="10074.0"/>
        <n v="23707.0"/>
        <n v="15684.0"/>
        <n v="13585.0"/>
        <n v="39495.0"/>
        <n v="55839.0"/>
        <n v="9804.0"/>
        <n v="13967.0"/>
        <n v="23250.0"/>
        <n v="22222.0"/>
        <n v="4996.0"/>
        <n v="28127.0"/>
        <n v="49409.0"/>
        <n v="9890.0"/>
        <n v="14233.0"/>
        <n v="18060.0"/>
        <n v="11767.0"/>
        <n v="20813.0"/>
        <n v="12735.0"/>
        <n v="1172.0"/>
        <n v="12578.0"/>
        <n v="8840.0"/>
        <n v="51536.0"/>
        <n v="3110.0"/>
        <n v="4606.0"/>
        <n v="23487.0"/>
        <n v="14369.0"/>
        <n v="18283.0"/>
        <n v="9130.0"/>
        <n v="12851.0"/>
        <n v="18351.0"/>
        <n v="1226.0"/>
        <n v="53635.0"/>
        <n v="2849.0"/>
        <n v="3386.0"/>
        <n v="18851.0"/>
        <n v="18303.0"/>
        <n v="11327.0"/>
        <n v="4340.0"/>
        <n v="14004.0"/>
        <n v="7991.0"/>
        <n v="4590.0"/>
        <n v="8090.0"/>
        <n v="41305.0"/>
        <n v="4708.0"/>
        <n v="22990.0"/>
        <n v="39243.0"/>
        <n v="17694.0"/>
        <n v="23598.0"/>
        <n v="10413.0"/>
        <n v="12864.0"/>
        <n v="4393.0"/>
        <n v="47645.0"/>
        <n v="3524.0"/>
        <n v="1297.0"/>
        <n v="8828.0"/>
        <n v="50092.0"/>
        <n v="2067.0"/>
        <n v="21381.0"/>
        <n v="3933.0"/>
        <n v="36831.0"/>
        <n v="22880.0"/>
        <n v="16556.0"/>
        <n v="17247.0"/>
        <n v="10939.0"/>
        <n v="7644.0"/>
        <n v="28580.0"/>
        <n v="11471.0"/>
        <n v="23785.0"/>
        <n v="53144.0"/>
        <n v="12479.0"/>
        <n v="28198.0"/>
        <n v="53352.0"/>
        <n v="17122.0"/>
        <n v="46401.0"/>
        <n v="6068.0"/>
        <n v="4717.0"/>
        <n v="54452.0"/>
        <n v="46938.0"/>
        <n v="11728.0"/>
        <n v="39330.0"/>
        <n v="13369.0"/>
        <n v="2358.0"/>
        <n v="21973.0"/>
        <n v="2090.0"/>
        <n v="8900.0"/>
        <n v="1443.0"/>
        <n v="3655.0"/>
        <n v="24849.0"/>
        <n v="21186.0"/>
        <n v="15992.0"/>
        <n v="39881.0"/>
        <n v="50012.0"/>
        <n v="3938.0"/>
        <n v="15281.0"/>
        <n v="24864.0"/>
        <n v="12661.0"/>
        <n v="3449.0"/>
        <n v="42430.0"/>
        <n v="52171.0"/>
        <n v="2463.0"/>
        <n v="12570.0"/>
        <n v="1925.0"/>
        <n v="23881.0"/>
        <n v="47012.0"/>
        <n v="3783.0"/>
        <n v="20025.0"/>
        <n v="3217.0"/>
        <n v="59298.0"/>
        <n v="21190.0"/>
        <n v="11340.0"/>
        <n v="18486.0"/>
        <n v="24789.0"/>
        <n v="4550.0"/>
        <n v="29721.0"/>
        <n v="4447.0"/>
        <n v="2236.0"/>
        <n v="22264.0"/>
        <n v="14813.0"/>
        <n v="4596.0"/>
        <n v="3763.0"/>
        <n v="11434.0"/>
        <n v="3266.0"/>
        <n v="43612.0"/>
        <n v="22083.0"/>
        <n v="954.0"/>
        <n v="11478.0"/>
        <n v="16906.0"/>
        <n v="13251.0"/>
        <n v="3779.0"/>
        <n v="29519.0"/>
        <n v="39420.0"/>
        <n v="30020.0"/>
        <n v="8337.0"/>
        <n v="20222.0"/>
        <n v="4704.0"/>
        <n v="952.0"/>
        <n v="30873.0"/>
        <n v="14442.0"/>
        <n v="9767.0"/>
        <n v="4898.0"/>
        <n v="1981.0"/>
        <n v="12598.0"/>
        <n v="16996.0"/>
        <n v="12249.0"/>
        <n v="1024.0"/>
        <n v="3416.0"/>
        <n v="23704.0"/>
        <n v="17367.0"/>
        <n v="44267.0"/>
        <n v="50991.0"/>
        <n v="11707.0"/>
        <n v="20878.0"/>
        <n v="57256.0"/>
        <n v="18223.0"/>
        <n v="16667.0"/>
        <n v="4356.0"/>
        <n v="12343.0"/>
        <n v="8383.0"/>
        <n v="24566.0"/>
        <n v="24621.0"/>
        <n v="3123.0"/>
        <n v="29699.0"/>
        <n v="2497.0"/>
        <n v="2991.0"/>
        <n v="31663.0"/>
        <n v="57399.0"/>
        <n v="15912.0"/>
        <n v="9430.0"/>
        <n v="3091.0"/>
        <n v="20192.0"/>
        <n v="13607.0"/>
        <n v="2828.0"/>
        <n v="4034.0"/>
        <n v="52512.0"/>
        <n v="3964.0"/>
        <n v="8223.0"/>
        <n v="3288.0"/>
        <n v="15277.0"/>
        <n v="20624.0"/>
        <n v="32906.0"/>
        <n v="9401.0"/>
        <n v="989.0"/>
        <n v="17789.0"/>
        <n v="4939.0"/>
        <n v="12378.0"/>
        <n v="38548.0"/>
        <n v="14585.0"/>
        <n v="4628.0"/>
        <n v="14293.0"/>
        <n v="6136.0"/>
        <n v="3898.0"/>
        <n v="17302.0"/>
        <n v="3932.0"/>
        <n v="51243.0"/>
        <n v="897.0"/>
        <n v="3254.0"/>
        <n v="24112.0"/>
        <n v="16662.0"/>
        <n v="39175.0"/>
        <n v="2579.0"/>
        <n v="37271.0"/>
        <n v="8330.0"/>
        <n v="9110.0"/>
        <n v="16121.0"/>
        <n v="9712.0"/>
        <n v="13128.0"/>
        <n v="55615.0"/>
        <n v="10438.0"/>
        <n v="2245.0"/>
        <n v="59006.0"/>
        <n v="53849.0"/>
        <n v="32219.0"/>
        <n v="14342.0"/>
        <n v="1458.0"/>
        <n v="13785.0"/>
        <n v="6901.0"/>
        <n v="2737.0"/>
        <n v="24090.0"/>
        <n v="35043.0"/>
        <n v="24554.0"/>
        <n v="15066.0"/>
        <n v="3611.0"/>
        <n v="2619.0"/>
        <n v="18961.0"/>
        <n v="2266.0"/>
        <n v="20457.0"/>
        <n v="23839.0"/>
        <n v="13591.0"/>
        <n v="15081.0"/>
        <n v="45320.0"/>
        <n v="12755.0"/>
        <n v="4817.0"/>
        <n v="30531.0"/>
        <n v="52665.0"/>
        <n v="18543.0"/>
        <n v="45817.0"/>
        <n v="59328.0"/>
        <n v="7910.0"/>
        <n v="8731.0"/>
        <n v="2643.0"/>
        <n v="12276.0"/>
        <n v="14765.0"/>
        <n v="3535.0"/>
        <n v="38845.0"/>
        <n v="2284.0"/>
        <n v="22166.0"/>
        <n v="8732.0"/>
        <n v="54356.0"/>
        <n v="7360.0"/>
        <n v="9927.0"/>
        <n v="6378.0"/>
        <n v="14595.0"/>
        <n v="111625.0"/>
        <n v="20153.0"/>
        <n v="6109.0"/>
        <n v="7188.0"/>
        <n v="57162.0"/>
        <n v="889.0"/>
        <n v="31258.0"/>
        <n v="14385.0"/>
        <n v="38706.0"/>
        <n v="9566.0"/>
        <n v="13167.0"/>
        <n v="2953.0"/>
        <n v="5563.0"/>
        <n v="38209.0"/>
        <n v="3251.0"/>
        <n v="12228.0"/>
        <n v="22701.0"/>
        <n v="1829.0"/>
        <n v="18522.0"/>
        <n v="37774.0"/>
        <n v="2778.0"/>
        <n v="4190.0"/>
        <n v="2102.0"/>
        <n v="9390.0"/>
        <n v="41193.0"/>
        <n v="11710.0"/>
        <n v="14064.0"/>
        <n v="29452.0"/>
        <n v="14815.0"/>
        <n v="52643.0"/>
        <n v="21618.0"/>
        <n v="5508.0"/>
        <n v="9337.0"/>
        <n v="11498.0"/>
        <n v="39349.0"/>
        <n v="21410.0"/>
        <n v="8078.0"/>
        <n v="18578.0"/>
        <n v="9717.0"/>
        <n v="41531.0"/>
        <n v="124221.0"/>
        <n v="4243.0"/>
        <n v="12029.0"/>
        <n v="12434.0"/>
        <n v="47690.0"/>
        <n v="12021.0"/>
        <n v="48172.0"/>
        <n v="15756.0"/>
        <n v="20413.0"/>
        <n v="21523.0"/>
        <n v="15299.0"/>
        <n v="50186.0"/>
        <n v="24760.0"/>
        <n v="3866.0"/>
        <n v="8801.0"/>
        <n v="20597.0"/>
        <n v="22209.0"/>
        <n v="10712.0"/>
        <n v="22427.0"/>
        <n v="43932.0"/>
        <n v="58131.0"/>
        <n v="6522.0"/>
        <n v="42046.0"/>
        <n v="4032.0"/>
        <n v="25552.0"/>
        <n v="44699.0"/>
        <n v="4477.0"/>
        <n v="44749.0"/>
        <n v="6837.0"/>
        <n v="15898.0"/>
        <n v="3425.0"/>
        <n v="3874.0"/>
        <n v="5977.0"/>
        <n v="15269.0"/>
        <n v="1409.0"/>
        <n v="1091.0"/>
        <n v="26667.0"/>
        <n v="24146.0"/>
        <n v="24618.0"/>
        <n v="22596.0"/>
        <n v="7642.0"/>
        <n v="2920.0"/>
        <n v="17946.0"/>
        <n v="3315.0"/>
        <n v="4803.0"/>
        <n v="8967.0"/>
        <n v="14677.0"/>
        <n v="12910.0"/>
        <n v="48210.0"/>
        <n v="8343.0"/>
        <n v="20854.0"/>
        <n v="58705.0"/>
        <n v="10791.0"/>
        <n v="55247.0"/>
        <n v="11528.0"/>
        <n v="5331.0"/>
        <n v="1236.0"/>
        <n v="17234.0"/>
        <n v="45900.0"/>
        <n v="33263.0"/>
        <n v="13841.0"/>
        <n v="5773.0"/>
        <n v="4061.0"/>
        <n v="15082.0"/>
        <n v="1197.0"/>
        <n v="9334.0"/>
        <n v="17521.0"/>
        <n v="23894.0"/>
        <n v="3092.0"/>
        <n v="4887.0"/>
        <n v="24602.0"/>
        <n v="32935.0"/>
        <n v="52013.0"/>
        <n v="2847.0"/>
        <n v="13075.0"/>
        <n v="23787.0"/>
        <n v="4927.0"/>
        <n v="12427.0"/>
        <n v="8041.0"/>
        <n v="16980.0"/>
        <n v="4135.0"/>
        <n v="1690.0"/>
        <n v="14097.0"/>
        <n v="10886.0"/>
        <n v="11813.0"/>
        <n v="3187.0"/>
        <n v="49609.0"/>
        <n v="975.0"/>
        <n v="4436.0"/>
        <n v="3735.0"/>
        <n v="4639.0"/>
        <n v="19494.0"/>
        <n v="3790.0"/>
        <n v="2407.0"/>
        <n v="4050.0"/>
        <n v="26141.0"/>
        <n v="3047.0"/>
        <n v="2653.0"/>
        <n v="26660.0"/>
        <n v="16230.0"/>
        <n v="12696.0"/>
        <n v="21668.0"/>
        <n v="18410.0"/>
        <n v="59009.0"/>
        <n v="33128.0"/>
        <n v="17114.0"/>
        <n v="4060.0"/>
        <n v="1473.0"/>
        <n v="22561.0"/>
        <n v="22381.0"/>
        <n v="7345.0"/>
        <n v="54866.0"/>
        <n v="4686.0"/>
        <n v="967.0"/>
        <n v="42075.0"/>
        <n v="6441.0"/>
        <n v="1336.0"/>
        <n v="19779.0"/>
        <n v="4071.0"/>
        <n v="9760.0"/>
        <n v="1737.0"/>
        <n v="9123.0"/>
        <n v="27811.0"/>
        <n v="2639.0"/>
        <n v="18200.0"/>
        <n v="20243.0"/>
        <n v="2577.0"/>
        <n v="57762.0"/>
        <n v="55189.0"/>
        <n v="17134.0"/>
        <n v="45331.0"/>
        <n v="23282.0"/>
        <n v="49559.0"/>
        <n v="3918.0"/>
        <n v="1417.0"/>
        <n v="5504.0"/>
        <n v="4507.0"/>
        <n v="4479.0"/>
        <n v="17006.0"/>
        <n v="13215.0"/>
        <n v="30158.0"/>
        <n v="18103.0"/>
        <n v="8271.0"/>
        <n v="1283.0"/>
        <n v="6444.0"/>
        <n v="31158.0"/>
        <n v="4217.0"/>
        <n v="40535.0"/>
        <n v="41385.0"/>
        <n v="38371.0"/>
        <n v="1128.0"/>
        <n v="31530.0"/>
        <n v="15196.0"/>
        <n v="23660.0"/>
        <n v="24717.0"/>
        <n v="4469.0"/>
        <n v="31331.0"/>
        <n v="46462.0"/>
        <n v="9244.0"/>
        <n v="3466.0"/>
        <n v="19517.0"/>
        <n v="21822.0"/>
        <n v="39132.0"/>
        <n v="28159.0"/>
        <n v="4096.0"/>
        <n v="3886.0"/>
        <n v="10470.0"/>
        <n v="22220.0"/>
        <n v="4689.0"/>
        <n v="56375.0"/>
        <n v="1843.0"/>
        <n v="1127.0"/>
        <n v="28244.0"/>
        <n v="14345.0"/>
        <n v="4008.0"/>
        <n v="25159.0"/>
        <n v="22280.0"/>
        <n v="12373.0"/>
        <n v="35979.0"/>
        <n v="51989.0"/>
        <n v="7680.0"/>
        <n v="10860.0"/>
        <n v="16369.0"/>
        <n v="4108.0"/>
        <n v="12279.0"/>
        <n v="23023.0"/>
        <n v="14557.0"/>
        <n v="20802.0"/>
        <n v="10537.0"/>
        <n v="10650.0"/>
        <n v="22408.0"/>
        <n v="2506.0"/>
        <n v="5649.0"/>
        <n v="3475.0"/>
        <n v="1804.0"/>
        <n v="24072.0"/>
        <n v="3609.0"/>
        <n v="35504.0"/>
        <n v="2691.0"/>
        <n v="4065.0"/>
        <n v="18224.0"/>
        <n v="1424.0"/>
        <n v="15687.0"/>
        <n v="15897.0"/>
        <n v="28479.0"/>
        <n v="20529.0"/>
        <n v="4205.0"/>
        <n v="13807.0"/>
        <n v="2748.0"/>
        <n v="39615.0"/>
        <n v="16834.0"/>
        <n v="4522.0"/>
        <n v="38524.0"/>
        <n v="4000.0"/>
        <n v="51627.0"/>
        <n v="6392.0"/>
        <n v="1526.0"/>
        <n v="3981.0"/>
        <n v="17424.0"/>
        <n v="20686.0"/>
        <n v="12845.0"/>
        <n v="1727.0"/>
        <n v="41411.0"/>
        <n v="5126.0"/>
        <n v="17438.0"/>
        <n v="3360.0"/>
        <n v="58545.0"/>
        <n v="24550.0"/>
        <n v="4329.0"/>
        <n v="24643.0"/>
        <n v="21802.0"/>
        <n v="20411.0"/>
        <n v="54267.0"/>
        <n v="4936.0"/>
        <n v="34198.0"/>
        <n v="33017.0"/>
        <n v="6317.0"/>
        <n v="4881.0"/>
        <n v="16345.0"/>
        <n v="57241.0"/>
        <n v="23266.0"/>
        <n v="16586.0"/>
        <n v="9974.0"/>
        <n v="58354.0"/>
        <n v="19585.0"/>
        <n v="32512.0"/>
        <n v="48278.0"/>
        <n v="39457.0"/>
        <n v="4684.0"/>
        <n v="2138.0"/>
        <n v="45833.0"/>
        <n v="17914.0"/>
        <n v="2384.0"/>
        <n v="14798.0"/>
        <n v="3661.0"/>
        <n v="13227.0"/>
        <n v="13342.0"/>
        <n v="11326.0"/>
        <n v="24019.0"/>
        <n v="39586.0"/>
        <n v="3868.0"/>
        <n v="2620.0"/>
        <n v="7994.0"/>
        <n v="24632.0"/>
        <n v="13157.0"/>
        <n v="7404.0"/>
        <n v="4715.0"/>
        <n v="21778.0"/>
        <n v="3791.0"/>
        <n v="19597.0"/>
        <n v="9353.0"/>
        <n v="2280.0"/>
        <n v="2775.0"/>
        <n v="1039.0"/>
        <n v="17915.0"/>
        <n v="10598.0"/>
        <n v="4789.0"/>
        <n v="24625.0"/>
        <n v="3825.0"/>
        <n v="58048.0"/>
        <n v="20789.0"/>
        <n v="24567.0"/>
        <n v="9515.0"/>
        <n v="20797.0"/>
        <n v="13368.0"/>
        <n v="6644.0"/>
        <n v="10733.0"/>
        <n v="1622.0"/>
        <n v="2401.0"/>
        <n v="3312.0"/>
        <n v="4097.0"/>
        <n v="15704.0"/>
        <n v="53851.0"/>
        <n v="18782.0"/>
        <n v="18785.0"/>
        <n v="9884.0"/>
        <n v="3199.0"/>
        <n v="20877.0"/>
        <n v="18943.0"/>
        <n v="10635.0"/>
        <n v="49617.0"/>
        <n v="9741.0"/>
        <n v="31676.0"/>
        <n v="8363.0"/>
        <n v="4270.0"/>
        <n v="15752.0"/>
        <n v="18462.0"/>
        <n v="15378.0"/>
        <n v="16651.0"/>
        <n v="31149.0"/>
        <n v="4627.0"/>
        <n v="11769.0"/>
        <n v="7245.0"/>
        <n v="34851.0"/>
        <n v="20603.0"/>
        <n v="4286.0"/>
        <n v="2705.0"/>
        <n v="6193.0"/>
        <n v="6332.0"/>
        <n v="7734.0"/>
        <n v="3906.0"/>
        <n v="2641.0"/>
        <n v="24140.0"/>
        <n v="14247.0"/>
        <n v="6359.0"/>
        <n v="16028.0"/>
        <n v="3205.0"/>
        <n v="29424.0"/>
        <n v="19544.0"/>
        <n v="23520.0"/>
        <n v="11643.0"/>
        <n v="3522.0"/>
        <n v="19865.0"/>
        <n v="14048.0"/>
        <n v="3987.0"/>
        <n v="18454.0"/>
        <n v="17523.0"/>
        <n v="8521.0"/>
        <n v="2801.0"/>
        <n v="17459.0"/>
        <n v="4444.0"/>
        <n v="4804.0"/>
        <n v="1571.0"/>
        <n v="18296.0"/>
        <n v="24208.0"/>
        <n v="7668.0"/>
        <n v="3855.0"/>
        <n v="17560.0"/>
        <n v="19896.0"/>
        <n v="10661.0"/>
        <n v="30702.0"/>
        <n v="36728.0"/>
        <n v="51138.0"/>
        <n v="5273.0"/>
        <n v="2732.0"/>
        <n v="15292.0"/>
        <n v="11375.0"/>
        <n v="17350.0"/>
        <n v="6312.0"/>
        <n v="14174.0"/>
        <n v="37189.0"/>
        <n v="4443.0"/>
        <n v="23768.0"/>
        <n v="3377.0"/>
        <n v="52830.0"/>
        <n v="17885.0"/>
        <n v="13538.0"/>
        <n v="2915.0"/>
        <n v="23630.0"/>
        <n v="2529.0"/>
        <n v="18411.0"/>
        <n v="4679.0"/>
        <n v="24560.0"/>
        <n v="2182.0"/>
        <n v="49419.0"/>
        <n v="44799.0"/>
        <n v="23474.0"/>
        <n v="4294.0"/>
        <n v="7792.0"/>
        <n v="26564.0"/>
        <n v="10969.0"/>
        <n v="38262.0"/>
        <n v="18359.0"/>
        <n v="12388.0"/>
        <n v="14173.0"/>
        <n v="2349.0"/>
        <n v="12658.0"/>
        <n v="3370.0"/>
        <n v="9310.0"/>
        <n v="2446.0"/>
        <n v="50930.0"/>
        <n v="8170.0"/>
        <n v="4520.0"/>
        <n v="4856.0"/>
        <n v="40147.0"/>
        <n v="45519.0"/>
        <n v="7859.0"/>
        <n v="8906.0"/>
        <n v="9355.0"/>
        <n v="22311.0"/>
        <n v="4370.0"/>
        <n v="13629.0"/>
        <n v="4999.0"/>
        <n v="42208.0"/>
        <n v="33327.0"/>
        <n v="12515.0"/>
        <n v="16655.0"/>
        <n v="10504.0"/>
        <n v="7874.0"/>
        <n v="29034.0"/>
        <n v="7639.0"/>
        <n v="24458.0"/>
        <n v="4875.0"/>
        <n v="22744.0"/>
        <n v="19972.0"/>
        <n v="3780.0"/>
        <n v="3299.0"/>
        <n v="11054.0"/>
        <n v="49122.0"/>
        <n v="20805.0"/>
        <n v="13171.0"/>
        <n v="22027.0"/>
        <n v="2818.0"/>
        <n v="5253.0"/>
        <n v="3223.0"/>
        <n v="19862.0"/>
        <n v="20303.0"/>
        <n v="6018.0"/>
        <n v="21756.0"/>
        <n v="3055.0"/>
        <n v="16954.0"/>
        <n v="45050.0"/>
        <n v="3472.0"/>
        <n v="3154.0"/>
        <n v="21307.0"/>
        <n v="858.0"/>
        <n v="8592.0"/>
        <n v="49608.0"/>
        <n v="20417.0"/>
        <n v="15802.0"/>
        <n v="52558.0"/>
        <n v="13269.0"/>
        <n v="22240.0"/>
        <n v="18753.0"/>
        <n v="3752.0"/>
        <n v="58032.0"/>
        <n v="1879.0"/>
        <n v="2276.0"/>
        <n v="59784.0"/>
        <n v="5309.0"/>
        <n v="4660.0"/>
        <n v="2760.0"/>
        <n v="22407.0"/>
        <n v="20444.0"/>
        <n v="11087.0"/>
        <n v="43153.0"/>
        <n v="12509.0"/>
        <n v="3332.0"/>
        <n v="15344.0"/>
        <n v="47864.0"/>
        <n v="11408.0"/>
        <n v="8138.0"/>
        <n v="10151.0"/>
        <n v="5722.0"/>
        <n v="2637.0"/>
        <n v="12863.0"/>
        <n v="23155.0"/>
        <n v="30898.0"/>
        <n v="4633.0"/>
        <n v="32178.0"/>
        <n v="3682.0"/>
        <n v="50836.0"/>
        <n v="7328.0"/>
        <n v="5562.0"/>
        <n v="6142.0"/>
        <n v="22113.0"/>
        <n v="20341.0"/>
        <n v="15424.0"/>
        <n v="9267.0"/>
        <n v="19697.0"/>
        <n v="15535.0"/>
        <n v="8939.0"/>
        <n v="59836.0"/>
        <n v="44525.0"/>
        <n v="18725.0"/>
        <n v="2751.0"/>
        <n v="23514.0"/>
        <n v="8845.0"/>
        <n v="11329.0"/>
        <n v="37132.0"/>
        <n v="10006.0"/>
        <n v="1786.0"/>
        <n v="881.0"/>
        <n v="52378.0"/>
        <n v="18642.0"/>
        <n v="20289.0"/>
        <n v="2208.0"/>
        <n v="29961.0"/>
        <n v="18110.0"/>
        <n v="9079.0"/>
        <n v="3101.0"/>
        <n v="11392.0"/>
        <n v="1924.0"/>
        <n v="39401.0"/>
        <n v="19869.0"/>
        <n v="8167.0"/>
        <n v="19622.0"/>
        <n v="17337.0"/>
        <n v="3564.0"/>
        <n v="55162.0"/>
        <n v="4656.0"/>
        <n v="24478.0"/>
        <n v="11010.0"/>
        <n v="24197.0"/>
        <n v="25499.0"/>
        <n v="11607.0"/>
        <n v="24235.0"/>
        <n v="57488.0"/>
        <n v="20189.0"/>
        <n v="24361.0"/>
        <n v="1848.0"/>
        <n v="18969.0"/>
        <n v="29784.0"/>
        <n v="53979.0"/>
        <n v="8546.0"/>
        <n v="2831.0"/>
        <n v="22423.0"/>
        <n v="1351.0"/>
        <n v="48153.0"/>
        <n v="21795.0"/>
        <n v="2668.0"/>
        <n v="2512.0"/>
        <n v="4901.0"/>
        <n v="6349.0"/>
        <n v="20638.0"/>
        <n v="17913.0"/>
        <n v="10105.0"/>
        <n v="15469.0"/>
        <n v="4423.0"/>
        <n v="9730.0"/>
        <n v="20746.0"/>
        <n v="17168.0"/>
        <n v="44169.0"/>
        <n v="2330.0"/>
        <n v="4267.0"/>
        <n v="5255.0"/>
        <n v="3129.0"/>
        <n v="3731.0"/>
        <n v="35160.0"/>
        <n v="11257.0"/>
        <n v="4945.0"/>
        <n v="3921.0"/>
        <n v="8478.0"/>
        <n v="17609.0"/>
        <n v="15096.0"/>
        <n v="17043.0"/>
        <n v="34192.0"/>
        <n v="16418.0"/>
        <n v="47777.0"/>
        <n v="899.0"/>
        <n v="22468.0"/>
        <n v="1946.0"/>
        <n v="27235.0"/>
        <n v="34242.0"/>
        <n v="2581.0"/>
        <n v="39937.0"/>
        <n v="50981.0"/>
        <n v="36650.0"/>
        <n v="19268.0"/>
        <n v="5390.0"/>
        <n v="3978.0"/>
        <n v="3571.0"/>
        <n v="18339.0"/>
        <n v="21411.0"/>
        <n v="24189.0"/>
        <n v="21011.0"/>
        <n v="23216.0"/>
        <n v="48098.0"/>
        <n v="13480.0"/>
        <n v="33546.0"/>
        <n v="14857.0"/>
        <n v="11303.0"/>
        <n v="12475.0"/>
        <n v="3943.0"/>
        <n v="24216.0"/>
        <n v="23819.0"/>
        <n v="15445.0"/>
        <n v="8551.0"/>
        <n v="3701.0"/>
        <n v="8805.0"/>
        <n v="22892.0"/>
        <n v="41343.0"/>
        <n v="14652.0"/>
        <n v="3577.0"/>
        <n v="54889.0"/>
        <n v="28946.0"/>
        <n v="2306.0"/>
        <n v="3262.0"/>
        <n v="33980.0"/>
        <n v="56900.0"/>
        <n v="12708.0"/>
        <n v="16462.0"/>
        <n v="38828.0"/>
        <n v="8063.0"/>
        <n v="4960.0"/>
        <n v="50097.0"/>
        <n v="19159.0"/>
        <n v="3048.0"/>
        <n v="2121.0"/>
        <n v="6636.0"/>
        <n v="984.0"/>
        <n v="2762.0"/>
        <n v="19743.0"/>
        <n v="1953.0"/>
        <n v="3184.0"/>
        <n v="13776.0"/>
        <n v="1768.0"/>
        <n v="15193.0"/>
        <n v="24774.0"/>
        <n v="52671.0"/>
        <n v="2452.0"/>
        <n v="12095.0"/>
        <n v="3961.0"/>
        <n v="21459.0"/>
        <n v="27943.0"/>
        <n v="38668.0"/>
        <n v="17539.0"/>
        <n v="11338.0"/>
        <n v="3548.0"/>
        <n v="21100.0"/>
        <n v="4985.0"/>
        <n v="20809.0"/>
        <n v="53714.0"/>
        <n v="35818.0"/>
        <n v="11360.0"/>
        <n v="21915.0"/>
        <n v="2360.0"/>
        <n v="41341.0"/>
        <n v="22293.0"/>
        <n v="17859.0"/>
        <n v="16370.0"/>
        <n v="66253.0"/>
        <n v="31265.0"/>
        <n v="8083.0"/>
        <n v="3646.0"/>
        <n v="16142.0"/>
        <n v="13441.0"/>
        <n v="18117.0"/>
        <n v="3009.0"/>
      </sharedItems>
    </cacheField>
    <cacheField name="LeadsGenerated" numFmtId="3">
      <sharedItems containsSemiMixedTypes="0" containsString="0" containsNumber="1" containsInteger="1">
        <n v="4436.0"/>
        <n v="689.0"/>
        <n v="1133.0"/>
        <n v="2187.0"/>
        <n v="655.0"/>
        <n v="1791.0"/>
        <n v="906.0"/>
        <n v="4771.0"/>
        <n v="169.0"/>
        <n v="245.0"/>
        <n v="778.0"/>
        <n v="3387.0"/>
        <n v="1854.0"/>
        <n v="2413.0"/>
        <n v="2336.0"/>
        <n v="1330.0"/>
        <n v="4700.0"/>
        <n v="3107.0"/>
        <n v="239.0"/>
        <n v="262.0"/>
        <n v="2185.0"/>
        <n v="713.0"/>
        <n v="1427.0"/>
        <n v="1699.0"/>
        <n v="3889.0"/>
        <n v="1310.0"/>
        <n v="333.0"/>
        <n v="904.0"/>
        <n v="1253.0"/>
        <n v="3831.0"/>
        <n v="3269.0"/>
        <n v="3060.0"/>
        <n v="125.0"/>
        <n v="2022.0"/>
        <n v="514.0"/>
        <n v="1337.0"/>
        <n v="1225.0"/>
        <n v="1023.0"/>
        <n v="535.0"/>
        <n v="133.0"/>
        <n v="1518.0"/>
        <n v="756.0"/>
        <n v="1681.0"/>
        <n v="1714.0"/>
        <n v="914.0"/>
        <n v="325.0"/>
        <n v="241.0"/>
        <n v="1099.0"/>
        <n v="2202.0"/>
        <n v="121.0"/>
        <n v="2449.0"/>
        <n v="947.0"/>
        <n v="302.0"/>
        <n v="1994.0"/>
        <n v="641.0"/>
        <n v="1583.0"/>
        <n v="2415.0"/>
        <n v="3014.0"/>
        <n v="1917.0"/>
        <n v="159.0"/>
        <n v="2537.0"/>
        <n v="286.0"/>
        <n v="540.0"/>
        <n v="113.0"/>
        <n v="2549.0"/>
        <n v="587.0"/>
        <n v="1259.0"/>
        <n v="3790.0"/>
        <n v="82.0"/>
        <n v="266.0"/>
        <n v="1530.0"/>
        <n v="1509.0"/>
        <n v="1582.0"/>
        <n v="212.0"/>
        <n v="2766.0"/>
        <n v="1626.0"/>
        <n v="306.0"/>
        <n v="318.0"/>
        <n v="385.0"/>
        <n v="1287.0"/>
        <n v="838.0"/>
        <n v="483.0"/>
        <n v="2610.0"/>
        <n v="3765.0"/>
        <n v="1175.0"/>
        <n v="2070.0"/>
        <n v="129.0"/>
        <n v="114.0"/>
        <n v="2800.0"/>
        <n v="702.0"/>
        <n v="3177.0"/>
        <n v="3419.0"/>
        <n v="201.0"/>
        <n v="155.0"/>
        <n v="3935.0"/>
        <n v="281.0"/>
        <n v="2079.0"/>
        <n v="436.0"/>
        <n v="354.0"/>
        <n v="837.0"/>
        <n v="246.0"/>
        <n v="4060.0"/>
        <n v="1148.0"/>
        <n v="2332.0"/>
        <n v="948.0"/>
        <n v="678.0"/>
        <n v="774.0"/>
        <n v="1380.0"/>
        <n v="469.0"/>
        <n v="2263.0"/>
        <n v="1992.0"/>
        <n v="1090.0"/>
        <n v="2160.0"/>
        <n v="570.0"/>
        <n v="3972.0"/>
        <n v="1164.0"/>
        <n v="338.0"/>
        <n v="3219.0"/>
        <n v="2067.0"/>
        <n v="1450.0"/>
        <n v="59.0"/>
        <n v="2817.0"/>
        <n v="2181.0"/>
        <n v="578.0"/>
        <n v="1570.0"/>
        <n v="370.0"/>
        <n v="1302.0"/>
        <n v="166.0"/>
        <n v="1214.0"/>
        <n v="177.0"/>
        <n v="740.0"/>
        <n v="527.0"/>
        <n v="1250.0"/>
        <n v="1876.0"/>
        <n v="924.0"/>
        <n v="1308.0"/>
        <n v="762.0"/>
        <n v="634.0"/>
        <n v="438.0"/>
        <n v="763.0"/>
        <n v="1366.0"/>
        <n v="592.0"/>
        <n v="1213.0"/>
        <n v="2469.0"/>
        <n v="1106.0"/>
        <n v="691.0"/>
        <n v="182.0"/>
        <n v="833.0"/>
        <n v="2282.0"/>
        <n v="84.0"/>
        <n v="127.0"/>
        <n v="1378.0"/>
        <n v="3131.0"/>
        <n v="2470.0"/>
        <n v="753.0"/>
        <n v="5324.0"/>
        <n v="4605.0"/>
        <n v="1353.0"/>
        <n v="1627.0"/>
        <n v="1224.0"/>
        <n v="2154.0"/>
        <n v="822.0"/>
        <n v="977.0"/>
        <n v="3328.0"/>
        <n v="5269.0"/>
        <n v="602.0"/>
        <n v="2235.0"/>
        <n v="1421.0"/>
        <n v="217.0"/>
        <n v="2164.0"/>
        <n v="2985.0"/>
        <n v="688.0"/>
        <n v="1147.0"/>
        <n v="916.0"/>
        <n v="720.0"/>
        <n v="1166.0"/>
        <n v="1585.0"/>
        <n v="62.0"/>
        <n v="681.0"/>
        <n v="637.0"/>
        <n v="4518.0"/>
        <n v="468.0"/>
        <n v="1915.0"/>
        <n v="985.0"/>
        <n v="1343.0"/>
        <n v="610.0"/>
        <n v="1188.0"/>
        <n v="1929.0"/>
        <n v="300.0"/>
        <n v="3274.0"/>
        <n v="218.0"/>
        <n v="269.0"/>
        <n v="2394.0"/>
        <n v="996.0"/>
        <n v="1149.0"/>
        <n v="258.0"/>
        <n v="1949.0"/>
        <n v="743.0"/>
        <n v="944.0"/>
        <n v="455.0"/>
        <n v="2227.0"/>
        <n v="280.0"/>
        <n v="1238.0"/>
        <n v="8185.0"/>
        <n v="3348.0"/>
        <n v="653.0"/>
        <n v="1793.0"/>
        <n v="859.0"/>
        <n v="437.0"/>
        <n v="3278.0"/>
        <n v="631.0"/>
        <n v="71.0"/>
        <n v="630.0"/>
        <n v="4517.0"/>
        <n v="1497.0"/>
        <n v="431.0"/>
        <n v="428.0"/>
        <n v="2493.0"/>
        <n v="2140.0"/>
        <n v="1088.0"/>
        <n v="787.0"/>
        <n v="789.0"/>
        <n v="1979.0"/>
        <n v="1879.0"/>
        <n v="2004.0"/>
        <n v="4734.0"/>
        <n v="1872.0"/>
        <n v="2097.0"/>
        <n v="4377.0"/>
        <n v="931.0"/>
        <n v="3637.0"/>
        <n v="411.0"/>
        <n v="936.0"/>
        <n v="2752.0"/>
        <n v="6613.0"/>
        <n v="1332.0"/>
        <n v="664.0"/>
        <n v="1384.0"/>
        <n v="58.0"/>
        <n v="131.0"/>
        <n v="1205.0"/>
        <n v="149.0"/>
        <n v="1562.0"/>
        <n v="126.0"/>
        <n v="647.0"/>
        <n v="648.0"/>
        <n v="1415.0"/>
        <n v="3016.0"/>
        <n v="3575.0"/>
        <n v="277.0"/>
        <n v="852.0"/>
        <n v="4461.0"/>
        <n v="873.0"/>
        <n v="408.0"/>
        <n v="2968.0"/>
        <n v="3989.0"/>
        <n v="242.0"/>
        <n v="912.0"/>
        <n v="259.0"/>
        <n v="329.0"/>
        <n v="3037.0"/>
        <n v="404.0"/>
        <n v="2607.0"/>
        <n v="226.0"/>
        <n v="4972.0"/>
        <n v="1878.0"/>
        <n v="858.0"/>
        <n v="1425.0"/>
        <n v="2487.0"/>
        <n v="663.0"/>
        <n v="6842.0"/>
        <n v="152.0"/>
        <n v="1201.0"/>
        <n v="248.0"/>
        <n v="795.0"/>
        <n v="710.0"/>
        <n v="210.0"/>
        <n v="3514.0"/>
        <n v="3268.0"/>
        <n v="203.0"/>
        <n v="2717.0"/>
        <n v="974.0"/>
        <n v="1171.0"/>
        <n v="279.0"/>
        <n v="6892.0"/>
        <n v="2659.0"/>
        <n v="3871.0"/>
        <n v="421.0"/>
        <n v="1218.0"/>
        <n v="434.0"/>
        <n v="136.0"/>
        <n v="1936.0"/>
        <n v="862.0"/>
        <n v="2261.0"/>
        <n v="283.0"/>
        <n v="236.0"/>
        <n v="920.0"/>
        <n v="1652.0"/>
        <n v="1061.0"/>
        <n v="147.0"/>
        <n v="556.0"/>
        <n v="4370.0"/>
        <n v="2287.0"/>
        <n v="263.0"/>
        <n v="772.0"/>
        <n v="3936.0"/>
        <n v="1372.0"/>
        <n v="1190.0"/>
        <n v="10948.0"/>
        <n v="1349.0"/>
        <n v="902.0"/>
        <n v="356.0"/>
        <n v="1414.0"/>
        <n v="1774.0"/>
        <n v="6001.0"/>
        <n v="4102.0"/>
        <n v="622.0"/>
        <n v="517.0"/>
        <n v="170.0"/>
        <n v="228.0"/>
        <n v="4957.0"/>
        <n v="1298.0"/>
        <n v="511.0"/>
        <n v="486.0"/>
        <n v="1232.0"/>
        <n v="686.0"/>
        <n v="399.0"/>
        <n v="284.0"/>
        <n v="3293.0"/>
        <n v="303.0"/>
        <n v="1195.0"/>
        <n v="405.0"/>
        <n v="835.0"/>
        <n v="1960.0"/>
        <n v="2109.0"/>
        <n v="2209.0"/>
        <n v="78.0"/>
        <n v="3788.0"/>
        <n v="532.0"/>
        <n v="2198.0"/>
        <n v="4885.0"/>
        <n v="1004.0"/>
        <n v="349.0"/>
        <n v="543.0"/>
        <n v="358.0"/>
        <n v="1350.0"/>
        <n v="476.0"/>
        <n v="3005.0"/>
        <n v="55.0"/>
        <n v="196.0"/>
        <n v="2435.0"/>
        <n v="2547.0"/>
        <n v="2479.0"/>
        <n v="2106.0"/>
        <n v="562.0"/>
        <n v="1165.0"/>
        <n v="1759.0"/>
        <n v="674.0"/>
        <n v="884.0"/>
        <n v="2806.0"/>
        <n v="558.0"/>
        <n v="5444.0"/>
        <n v="7655.0"/>
        <n v="1987.0"/>
        <n v="946.0"/>
        <n v="135.0"/>
        <n v="1874.0"/>
        <n v="359.0"/>
        <n v="141.0"/>
        <n v="1654.0"/>
        <n v="148.0"/>
        <n v="950.0"/>
        <n v="257.0"/>
        <n v="1275.0"/>
        <n v="1804.0"/>
        <n v="968.0"/>
        <n v="3141.0"/>
        <n v="2797.0"/>
        <n v="243.0"/>
        <n v="2839.0"/>
        <n v="4045.0"/>
        <n v="1409.0"/>
        <n v="3750.0"/>
        <n v="3083.0"/>
        <n v="922.0"/>
        <n v="565.0"/>
        <n v="430.0"/>
        <n v="672.0"/>
        <n v="2135.0"/>
        <n v="2798.0"/>
        <n v="162.0"/>
        <n v="4449.0"/>
        <n v="583.0"/>
        <n v="3758.0"/>
        <n v="1066.0"/>
        <n v="685.0"/>
        <n v="1924.0"/>
        <n v="347.0"/>
        <n v="369.0"/>
        <n v="3579.0"/>
        <n v="46.0"/>
        <n v="3233.0"/>
        <n v="2026.0"/>
        <n v="586.0"/>
        <n v="1508.0"/>
        <n v="442.0"/>
        <n v="3003.0"/>
        <n v="390.0"/>
        <n v="1142.0"/>
        <n v="1321.0"/>
        <n v="137.0"/>
        <n v="1442.0"/>
        <n v="614.0"/>
        <n v="382.0"/>
        <n v="1041.0"/>
        <n v="5813.0"/>
        <n v="701.0"/>
        <n v="2796.0"/>
        <n v="1118.0"/>
        <n v="1605.0"/>
        <n v="3692.0"/>
        <n v="1215.0"/>
        <n v="1034.0"/>
        <n v="1289.0"/>
        <n v="8201.0"/>
        <n v="2581.0"/>
        <n v="1154.0"/>
        <n v="2288.0"/>
        <n v="812.0"/>
        <n v="4334.0"/>
        <n v="440.0"/>
        <n v="1243.0"/>
        <n v="5485.0"/>
        <n v="11740.0"/>
        <n v="2030.0"/>
        <n v="2365.0"/>
        <n v="1176.0"/>
        <n v="2382.0"/>
        <n v="4143.0"/>
        <n v="1256.0"/>
        <n v="205.0"/>
        <n v="454.0"/>
        <n v="2138.0"/>
        <n v="1295.0"/>
        <n v="803.0"/>
        <n v="1418.0"/>
        <n v="215.0"/>
        <n v="7351.0"/>
        <n v="1039.0"/>
        <n v="3211.0"/>
        <n v="485.0"/>
        <n v="1538.0"/>
        <n v="5665.0"/>
        <n v="6241.0"/>
        <n v="669.0"/>
        <n v="1449.0"/>
        <n v="255.0"/>
        <n v="195.0"/>
        <n v="955.0"/>
        <n v="2653.0"/>
        <n v="167.0"/>
        <n v="1815.0"/>
        <n v="1580.0"/>
        <n v="2223.0"/>
        <n v="1788.0"/>
        <n v="541.0"/>
        <n v="49.0"/>
        <n v="2375.0"/>
        <n v="334.0"/>
        <n v="332.0"/>
        <n v="1938.0"/>
        <n v="1698.0"/>
        <n v="2544.0"/>
        <n v="5640.0"/>
        <n v="498.0"/>
        <n v="1363.0"/>
        <n v="3191.0"/>
        <n v="820.0"/>
        <n v="10374.0"/>
        <n v="1092.0"/>
        <n v="274.0"/>
        <n v="146.0"/>
        <n v="2561.0"/>
        <n v="1581.0"/>
        <n v="4417.0"/>
        <n v="4992.0"/>
        <n v="3448.0"/>
        <n v="380.0"/>
        <n v="654.0"/>
        <n v="1042.0"/>
        <n v="66.0"/>
        <n v="2035.0"/>
        <n v="3798.0"/>
        <n v="1284.0"/>
        <n v="224.0"/>
        <n v="330.0"/>
        <n v="1841.0"/>
        <n v="2508.0"/>
        <n v="5725.0"/>
        <n v="190.0"/>
        <n v="2909.0"/>
        <n v="4204.0"/>
        <n v="307.0"/>
        <n v="930.0"/>
        <n v="1264.0"/>
        <n v="684.0"/>
        <n v="471.0"/>
        <n v="1339.0"/>
        <n v="605.0"/>
        <n v="140.0"/>
        <n v="1578.0"/>
        <n v="1189.0"/>
        <n v="738.0"/>
        <n v="3048.0"/>
        <n v="69.0"/>
        <n v="604.0"/>
        <n v="529.0"/>
        <n v="526.0"/>
        <n v="1203.0"/>
        <n v="574.0"/>
        <n v="142.0"/>
        <n v="344.0"/>
        <n v="1019.0"/>
        <n v="412.0"/>
        <n v="935.0"/>
        <n v="1368.0"/>
        <n v="10692.0"/>
        <n v="2014.0"/>
        <n v="1126.0"/>
        <n v="739.0"/>
        <n v="85.0"/>
        <n v="1748.0"/>
        <n v="1157.0"/>
        <n v="381.0"/>
        <n v="2788.0"/>
        <n v="846.0"/>
        <n v="74.0"/>
        <n v="2343.0"/>
        <n v="1601.0"/>
        <n v="460.0"/>
        <n v="1344.0"/>
        <n v="2633.0"/>
        <n v="207.0"/>
        <n v="1446.0"/>
        <n v="3373.0"/>
        <n v="134.0"/>
        <n v="8033.0"/>
        <n v="9938.0"/>
        <n v="1984.0"/>
        <n v="10498.0"/>
        <n v="4431.0"/>
        <n v="383.0"/>
        <n v="627.0"/>
        <n v="83.0"/>
        <n v="503.0"/>
        <n v="854.0"/>
        <n v="848.0"/>
        <n v="1587.0"/>
        <n v="3287.0"/>
        <n v="1367.0"/>
        <n v="815.0"/>
        <n v="316.0"/>
        <n v="4897.0"/>
        <n v="425.0"/>
        <n v="6634.0"/>
        <n v="2738.0"/>
        <n v="4968.0"/>
        <n v="4363.0"/>
        <n v="844.0"/>
        <n v="1312.0"/>
        <n v="949.0"/>
        <n v="3431.0"/>
        <n v="2471.0"/>
        <n v="538.0"/>
        <n v="271.0"/>
        <n v="1617.0"/>
        <n v="2016.0"/>
        <n v="1593.0"/>
        <n v="1763.0"/>
        <n v="1393.0"/>
        <n v="693.0"/>
        <n v="2966.0"/>
        <n v="151.0"/>
        <n v="98.0"/>
        <n v="2949.0"/>
        <n v="1972.0"/>
        <n v="3049.0"/>
        <n v="1734.0"/>
        <n v="1931.0"/>
        <n v="2358.0"/>
        <n v="3429.0"/>
        <n v="536.0"/>
        <n v="612.0"/>
        <n v="967.0"/>
        <n v="1247.0"/>
        <n v="2437.0"/>
        <n v="1172.0"/>
        <n v="897.0"/>
        <n v="1909.0"/>
        <n v="3375.0"/>
        <n v="372.0"/>
        <n v="661.0"/>
        <n v="227.0"/>
        <n v="122.0"/>
        <n v="1352.0"/>
        <n v="892.0"/>
        <n v="7666.0"/>
        <n v="355.0"/>
        <n v="1139.0"/>
        <n v="80.0"/>
        <n v="1104.0"/>
        <n v="1239.0"/>
        <n v="4594.0"/>
        <n v="3892.0"/>
        <n v="219.0"/>
        <n v="1842.0"/>
        <n v="187.0"/>
        <n v="2944.0"/>
        <n v="1474.0"/>
        <n v="608.0"/>
        <n v="4327.0"/>
        <n v="247.0"/>
        <n v="3331.0"/>
        <n v="470.0"/>
        <n v="115.0"/>
        <n v="1743.0"/>
        <n v="1123.0"/>
        <n v="816.0"/>
        <n v="119.0"/>
        <n v="4446.0"/>
        <n v="1281.0"/>
        <n v="230.0"/>
        <n v="3557.0"/>
        <n v="3919.0"/>
        <n v="3524.0"/>
        <n v="1690.0"/>
        <n v="11368.0"/>
        <n v="2522.0"/>
        <n v="7466.0"/>
        <n v="360.0"/>
        <n v="871.0"/>
        <n v="3195.0"/>
        <n v="2671.0"/>
        <n v="872.0"/>
        <n v="677.0"/>
        <n v="6132.0"/>
        <n v="3068.0"/>
        <n v="1875.0"/>
        <n v="5280.0"/>
        <n v="3848.0"/>
        <n v="237.0"/>
        <n v="2570.0"/>
        <n v="969.0"/>
        <n v="222.0"/>
        <n v="1417.0"/>
        <n v="184.0"/>
        <n v="885.0"/>
        <n v="1008.0"/>
        <n v="312.0"/>
        <n v="417.0"/>
        <n v="4744.0"/>
        <n v="1288.0"/>
        <n v="607.0"/>
        <n v="1520.0"/>
        <n v="249.0"/>
        <n v="216.0"/>
        <n v="1296.0"/>
        <n v="326.0"/>
        <n v="1475.0"/>
        <n v="433.0"/>
        <n v="1513.0"/>
        <n v="2352.0"/>
        <n v="3327.0"/>
        <n v="2132.0"/>
        <n v="617.0"/>
        <n v="426.0"/>
        <n v="345.0"/>
        <n v="807.0"/>
        <n v="3515.0"/>
        <n v="1371.0"/>
        <n v="3503.0"/>
        <n v="1240.0"/>
        <n v="3183.0"/>
        <n v="1726.0"/>
        <n v="782.0"/>
        <n v="5751.0"/>
        <n v="621.0"/>
        <n v="2284.0"/>
        <n v="418.0"/>
        <n v="891.0"/>
        <n v="1140.0"/>
        <n v="1161.0"/>
        <n v="4582.0"/>
        <n v="779.0"/>
        <n v="4320.0"/>
        <n v="1429.0"/>
        <n v="260.0"/>
        <n v="172.0"/>
        <n v="516.0"/>
        <n v="1100.0"/>
        <n v="905.0"/>
        <n v="4676.0"/>
        <n v="1153.0"/>
        <n v="415.0"/>
        <n v="2562.0"/>
        <n v="2592.0"/>
        <n v="4304.0"/>
        <n v="1096.0"/>
        <n v="1010.0"/>
        <n v="2144.0"/>
        <n v="595.0"/>
        <n v="2689.0"/>
        <n v="584.0"/>
        <n v="221.0"/>
        <n v="1342.0"/>
        <n v="254.0"/>
        <n v="368.0"/>
        <n v="102.0"/>
        <n v="943.0"/>
        <n v="4467.0"/>
        <n v="234.0"/>
        <n v="3172.0"/>
        <n v="4454.0"/>
        <n v="1077.0"/>
        <n v="1865.0"/>
        <n v="3613.0"/>
        <n v="2905.0"/>
        <n v="522.0"/>
        <n v="377.0"/>
        <n v="1843.0"/>
        <n v="841.0"/>
        <n v="2214.0"/>
        <n v="705.0"/>
        <n v="2392.0"/>
        <n v="5187.0"/>
        <n v="3869.0"/>
        <n v="1395.0"/>
        <n v="788.0"/>
        <n v="317.0"/>
        <n v="1422.0"/>
        <n v="518.0"/>
        <n v="2563.0"/>
        <n v="3861.0"/>
        <n v="150.0"/>
        <n v="2009.0"/>
        <n v="388.0"/>
        <n v="1476.0"/>
        <n v="1439.0"/>
        <n v="2896.0"/>
        <n v="3911.0"/>
        <n v="1396.0"/>
        <n v="2011.0"/>
        <n v="1204.0"/>
        <n v="1216.0"/>
        <n v="174.0"/>
        <n v="5174.0"/>
        <n v="633.0"/>
        <n v="309.0"/>
        <n v="6187.0"/>
        <n v="3012.0"/>
        <n v="1229.0"/>
        <n v="589.0"/>
        <n v="1694.0"/>
        <n v="2386.0"/>
        <n v="342.0"/>
        <n v="4748.0"/>
        <n v="2085.0"/>
        <n v="1893.0"/>
        <n v="1109.0"/>
        <n v="1495.0"/>
        <n v="555.0"/>
        <n v="4050.0"/>
        <n v="2703.0"/>
        <n v="423.0"/>
        <n v="1003.0"/>
        <n v="3484.0"/>
        <n v="1114.0"/>
        <n v="1198.0"/>
        <n v="2136.0"/>
        <n v="183.0"/>
        <n v="1196.0"/>
        <n v="1177.0"/>
        <n v="2171.0"/>
        <n v="161.0"/>
        <n v="350.0"/>
        <n v="5491.0"/>
        <n v="238.0"/>
        <n v="1237.0"/>
        <n v="43.0"/>
        <n v="1468.0"/>
        <n v="2663.0"/>
        <n v="2802.0"/>
        <n v="2958.0"/>
        <n v="2149.0"/>
        <n v="204.0"/>
        <n v="1592.0"/>
        <n v="2691.0"/>
        <n v="8841.0"/>
        <n v="130.0"/>
        <n v="153.0"/>
        <n v="507.0"/>
        <n v="298.0"/>
        <n v="680.0"/>
        <n v="1182.0"/>
        <n v="2001.0"/>
        <n v="965.0"/>
        <n v="7365.0"/>
        <n v="794.0"/>
        <n v="636.0"/>
        <n v="429.0"/>
        <n v="1504.0"/>
        <n v="9050.0"/>
        <n v="1279.0"/>
        <n v="758.0"/>
        <n v="828.0"/>
        <n v="420.0"/>
        <n v="3054.0"/>
        <n v="3568.0"/>
        <n v="5904.0"/>
        <n v="5426.0"/>
        <n v="817.0"/>
        <n v="730.0"/>
        <n v="2182.0"/>
        <n v="3412.0"/>
        <n v="2425.0"/>
        <n v="725.0"/>
        <n v="3118.0"/>
        <n v="3135.0"/>
        <n v="448.0"/>
        <n v="8422.0"/>
        <n v="4653.0"/>
        <n v="1067.0"/>
        <n v="491.0"/>
        <n v="626.0"/>
        <n v="5659.0"/>
        <n v="643.0"/>
        <n v="403.0"/>
        <n v="56.0"/>
        <n v="8116.0"/>
        <n v="4321.0"/>
        <n v="2162.0"/>
        <n v="1382.0"/>
        <n v="194.0"/>
        <n v="1053.0"/>
        <n v="188.0"/>
        <n v="5829.0"/>
        <n v="2456.0"/>
        <n v="533.0"/>
        <n v="4071.0"/>
        <n v="447.0"/>
        <n v="3112.0"/>
        <n v="640.0"/>
        <n v="3932.0"/>
        <n v="1666.0"/>
        <n v="3709.0"/>
        <n v="1297.0"/>
        <n v="2383.0"/>
        <n v="1336.0"/>
        <n v="4626.0"/>
        <n v="1348.0"/>
        <n v="53.0"/>
        <n v="813.0"/>
        <n v="6764.0"/>
        <n v="179.0"/>
        <n v="3113.0"/>
        <n v="93.0"/>
        <n v="4570.0"/>
        <n v="1346.0"/>
        <n v="291.0"/>
        <n v="65.0"/>
        <n v="501.0"/>
        <n v="3123.0"/>
        <n v="1162.0"/>
        <n v="995.0"/>
        <n v="1556.0"/>
        <n v="991.0"/>
        <n v="893.0"/>
        <n v="2422.0"/>
        <n v="2265.0"/>
        <n v="124.0"/>
        <n v="554.0"/>
        <n v="7577.0"/>
        <n v="253.0"/>
        <n v="3502.0"/>
        <n v="2096.0"/>
        <n v="1017.0"/>
        <n v="3948.0"/>
        <n v="2272.0"/>
        <n v="7393.0"/>
        <n v="2473.0"/>
        <n v="111.0"/>
        <n v="1723.0"/>
        <n v="564.0"/>
        <n v="191.0"/>
        <n v="6216.0"/>
        <n v="4450.0"/>
        <n v="7241.0"/>
        <n v="4413.0"/>
        <n v="963.0"/>
        <n v="293.0"/>
        <n v="128.0"/>
        <n v="1816.0"/>
        <n v="2123.0"/>
        <n v="5296.0"/>
        <n v="4266.0"/>
        <n v="932.0"/>
        <n v="2191.0"/>
        <n v="1486.0"/>
        <n v="391.0"/>
        <n v="5130.0"/>
        <n v="3350.0"/>
        <n v="3187.0"/>
        <n v="1613.0"/>
        <n v="494.0"/>
        <n v="4762.0"/>
        <n v="1129.0"/>
        <n v="365.0"/>
        <n v="4533.0"/>
        <n v="7383.0"/>
        <n v="694.0"/>
        <n v="2283.0"/>
        <n v="6939.0"/>
        <n v="3783.0"/>
        <n v="2379.0"/>
        <n v="154.0"/>
        <n v="209.0"/>
        <n v="1428.0"/>
        <n v="181.0"/>
        <n v="2664.0"/>
        <n v="2226.0"/>
        <n v="1181.0"/>
        <n v="1761.0"/>
        <n v="3475.0"/>
        <n v="724.0"/>
        <n v="2324.0"/>
        <n v="2093.0"/>
        <n v="1241.0"/>
        <n v="1273.0"/>
        <n v="189.0"/>
        <n v="1081.0"/>
        <n v="706.0"/>
        <n v="8191.0"/>
        <n v="4505.0"/>
        <n v="2712.0"/>
        <n v="319.0"/>
        <n v="2511.0"/>
        <n v="439.0"/>
        <n v="1002.0"/>
        <n v="398.0"/>
        <n v="101.0"/>
        <n v="750.0"/>
        <n v="1977.0"/>
      </sharedItems>
    </cacheField>
    <cacheField name="Conversions" numFmtId="3">
      <sharedItems containsSemiMixedTypes="0" containsString="0" containsNumber="1" containsInteger="1">
        <n v="363.0"/>
        <n v="102.0"/>
        <n v="42.0"/>
        <n v="135.0"/>
        <n v="30.0"/>
        <n v="112.0"/>
        <n v="137.0"/>
        <n v="21.0"/>
        <n v="848.0"/>
        <n v="13.0"/>
        <n v="32.0"/>
        <n v="34.0"/>
        <n v="131.0"/>
        <n v="240.0"/>
        <n v="123.0"/>
        <n v="217.0"/>
        <n v="26.0"/>
        <n v="480.0"/>
        <n v="333.0"/>
        <n v="5.0"/>
        <n v="28.0"/>
        <n v="237.0"/>
        <n v="44.0"/>
        <n v="101.0"/>
        <n v="88.0"/>
        <n v="165.0"/>
        <n v="238.0"/>
        <n v="12.0"/>
        <n v="97.0"/>
        <n v="93.0"/>
        <n v="584.0"/>
        <n v="139.0"/>
        <n v="40.0"/>
        <n v="36.0"/>
        <n v="57.0"/>
        <n v="25.0"/>
        <n v="126.0"/>
        <n v="39.0"/>
        <n v="125.0"/>
        <n v="261.0"/>
        <n v="64.0"/>
        <n v="75.0"/>
        <n v="174.0"/>
        <n v="18.0"/>
        <n v="163.0"/>
        <n v="62.0"/>
        <n v="105.0"/>
        <n v="15.0"/>
        <n v="103.0"/>
        <n v="218.0"/>
        <n v="276.0"/>
        <n v="324.0"/>
        <n v="72.0"/>
        <n v="205.0"/>
        <n v="31.0"/>
        <n v="59.0"/>
        <n v="53.0"/>
        <n v="27.0"/>
        <n v="445.0"/>
        <n v="20.0"/>
        <n v="118.0"/>
        <n v="111.0"/>
        <n v="43.0"/>
        <n v="56.0"/>
        <n v="58.0"/>
        <n v="60.0"/>
        <n v="7.0"/>
        <n v="17.0"/>
        <n v="51.0"/>
        <n v="292.0"/>
        <n v="329.0"/>
        <n v="1184.0"/>
        <n v="225.0"/>
        <n v="195.0"/>
        <n v="370.0"/>
        <n v="95.0"/>
        <n v="130.0"/>
        <n v="49.0"/>
        <n v="33.0"/>
        <n v="24.0"/>
        <n v="35.0"/>
        <n v="50.0"/>
        <n v="23.0"/>
        <n v="9.0"/>
        <n v="197.0"/>
        <n v="80.0"/>
        <n v="410.0"/>
        <n v="55.0"/>
        <n v="91.0"/>
        <n v="16.0"/>
        <n v="127.0"/>
        <n v="110.0"/>
        <n v="319.0"/>
        <n v="46.0"/>
        <n v="259.0"/>
        <n v="86.0"/>
        <n v="306.0"/>
        <n v="92.0"/>
        <n v="502.0"/>
        <n v="74.0"/>
        <n v="89.0"/>
        <n v="8.0"/>
        <n v="360.0"/>
        <n v="289.0"/>
        <n v="19.0"/>
        <n v="47.0"/>
        <n v="6.0"/>
        <n v="85.0"/>
        <n v="108.0"/>
        <n v="41.0"/>
        <n v="106.0"/>
        <n v="14.0"/>
        <n v="117.0"/>
        <n v="206.0"/>
        <n v="61.0"/>
        <n v="384.0"/>
        <n v="426.0"/>
        <n v="37.0"/>
        <n v="531.0"/>
        <n v="176.0"/>
        <n v="45.0"/>
        <n v="189.0"/>
        <n v="65.0"/>
        <n v="115.0"/>
        <n v="542.0"/>
        <n v="710.0"/>
        <n v="99.0"/>
        <n v="308.0"/>
        <n v="367.0"/>
        <n v="73.0"/>
        <n v="159.0"/>
        <n v="94.0"/>
        <n v="656.0"/>
        <n v="52.0"/>
        <n v="67.0"/>
        <n v="573.0"/>
        <n v="153.0"/>
        <n v="69.0"/>
        <n v="140.0"/>
        <n v="71.0"/>
        <n v="2230.0"/>
        <n v="609.0"/>
        <n v="290.0"/>
        <n v="70.0"/>
        <n v="107.0"/>
        <n v="265.0"/>
        <n v="318.0"/>
        <n v="147.0"/>
        <n v="229.0"/>
        <n v="68.0"/>
        <n v="214.0"/>
        <n v="54.0"/>
        <n v="720.0"/>
        <n v="124.0"/>
        <n v="227.0"/>
        <n v="437.0"/>
        <n v="465.0"/>
        <n v="383.0"/>
        <n v="530.0"/>
        <n v="22.0"/>
        <n v="87.0"/>
        <n v="173.0"/>
        <n v="142.0"/>
        <n v="148.0"/>
        <n v="76.0"/>
        <n v="188.0"/>
        <n v="256.0"/>
        <n v="639.0"/>
        <n v="417.0"/>
        <n v="444.0"/>
        <n v="623.0"/>
        <n v="63.0"/>
        <n v="84.0"/>
        <n v="424.0"/>
        <n v="698.0"/>
        <n v="1880.0"/>
        <n v="191.0"/>
        <n v="77.0"/>
        <n v="715.0"/>
        <n v="455.0"/>
        <n v="167.0"/>
        <n v="170.0"/>
        <n v="82.0"/>
        <n v="1069.0"/>
        <n v="337.0"/>
        <n v="221.0"/>
        <n v="213.0"/>
        <n v="396.0"/>
        <n v="81.0"/>
        <n v="166.0"/>
        <n v="247.0"/>
        <n v="190.0"/>
        <n v="386.0"/>
        <n v="1359.0"/>
        <n v="119.0"/>
        <n v="158.0"/>
        <n v="179.0"/>
        <n v="252.0"/>
        <n v="136.0"/>
        <n v="48.0"/>
        <n v="255.0"/>
        <n v="78.0"/>
        <n v="296.0"/>
        <n v="704.0"/>
        <n v="231.0"/>
        <n v="278.0"/>
        <n v="10.0"/>
        <n v="175.0"/>
        <n v="272.0"/>
        <n v="209.0"/>
        <n v="613.0"/>
        <n v="849.0"/>
        <n v="340.0"/>
        <n v="129.0"/>
        <n v="11.0"/>
        <n v="518.0"/>
        <n v="122.0"/>
        <n v="377.0"/>
        <n v="344.0"/>
        <n v="244.0"/>
        <n v="541.0"/>
        <n v="249.0"/>
        <n v="341.0"/>
        <n v="2139.0"/>
        <n v="169.0"/>
        <n v="350.0"/>
        <n v="552.0"/>
        <n v="79.0"/>
        <n v="263.0"/>
        <n v="181.0"/>
        <n v="113.0"/>
        <n v="164.0"/>
        <n v="194.0"/>
        <n v="392.0"/>
        <n v="851.0"/>
        <n v="962.0"/>
        <n v="375.0"/>
        <n v="146.0"/>
        <n v="315.0"/>
        <n v="661.0"/>
        <n v="1061.0"/>
        <n v="1179.0"/>
        <n v="120.0"/>
        <n v="304.0"/>
        <n v="894.0"/>
        <n v="354.0"/>
        <n v="499.0"/>
        <n v="66.0"/>
        <n v="713.0"/>
        <n v="83.0"/>
        <n v="956.0"/>
        <n v="419.0"/>
        <n v="1940.0"/>
        <n v="114.0"/>
        <n v="29.0"/>
        <n v="757.0"/>
        <n v="178.0"/>
        <n v="551.0"/>
        <n v="634.0"/>
        <n v="185.0"/>
        <n v="196.0"/>
        <n v="1000.0"/>
        <n v="133.0"/>
        <n v="545.0"/>
        <n v="132.0"/>
        <n v="1427.0"/>
        <n v="313.0"/>
        <n v="183.0"/>
        <n v="151.0"/>
        <n v="239.0"/>
        <n v="1310.0"/>
        <n v="1308.0"/>
        <n v="96.0"/>
        <n v="1305.0"/>
        <n v="359.0"/>
        <n v="575.0"/>
        <n v="540.0"/>
        <n v="379.0"/>
        <n v="285.0"/>
        <n v="275.0"/>
        <n v="507.0"/>
        <n v="248.0"/>
        <n v="495.0"/>
        <n v="204.0"/>
        <n v="121.0"/>
        <n v="361.0"/>
        <n v="143.0"/>
        <n v="307.0"/>
        <n v="310.0"/>
        <n v="355.0"/>
        <n v="199.0"/>
        <n v="303.0"/>
        <n v="588.0"/>
        <n v="294.0"/>
        <n v="1150.0"/>
        <n v="138.0"/>
        <n v="254.0"/>
        <n v="243.0"/>
        <n v="325.0"/>
        <n v="595.0"/>
        <n v="533.0"/>
        <n v="245.0"/>
        <n v="212.0"/>
        <n v="1866.0"/>
        <n v="162.0"/>
        <n v="887.0"/>
        <n v="184.0"/>
        <n v="38.0"/>
        <n v="745.0"/>
        <n v="463.0"/>
        <n v="109.0"/>
        <n v="680.0"/>
        <n v="412.0"/>
        <n v="144.0"/>
        <n v="154.0"/>
        <n v="327.0"/>
        <n v="349.0"/>
        <n v="210.0"/>
        <n v="202.0"/>
        <n v="432.0"/>
        <n v="558.0"/>
        <n v="141.0"/>
        <n v="128.0"/>
        <n v="311.0"/>
        <n v="395.0"/>
        <n v="497.0"/>
        <n v="814.0"/>
        <n v="466.0"/>
        <n v="409.0"/>
        <n v="273.0"/>
        <n v="267.0"/>
        <n v="266.0"/>
        <n v="946.0"/>
        <n v="342.0"/>
        <n v="269.0"/>
        <n v="216.0"/>
        <n v="503.0"/>
        <n v="233.0"/>
        <n v="279.0"/>
        <n v="676.0"/>
        <n v="260.0"/>
        <n v="104.0"/>
        <n v="864.0"/>
        <n v="1010.0"/>
        <n v="180.0"/>
        <n v="116.0"/>
        <n v="198.0"/>
        <n v="332.0"/>
        <n v="192.0"/>
        <n v="286.0"/>
        <n v="98.0"/>
        <n v="538.0"/>
        <n v="652.0"/>
        <n v="264.0"/>
        <n v="134.0"/>
        <n v="438.0"/>
        <n v="228.0"/>
        <n v="481.0"/>
        <n v="299.0"/>
        <n v="1039.0"/>
        <n v="797.0"/>
        <n v="473.0"/>
        <n v="1002.0"/>
        <n v="448.0"/>
        <n v="157.0"/>
        <n v="1513.0"/>
        <n v="220.0"/>
        <n v="510.0"/>
        <n v="1187.0"/>
        <n v="330.0"/>
        <n v="761.0"/>
        <n v="282.0"/>
        <n v="145.0"/>
        <n v="160.0"/>
        <n v="268.0"/>
        <n v="1302.0"/>
        <n v="839.0"/>
        <n v="3115.0"/>
        <n v="784.0"/>
        <n v="1196.0"/>
        <n v="226.0"/>
        <n v="612.0"/>
        <n v="1075.0"/>
        <n v="736.0"/>
        <n v="1067.0"/>
        <n v="666.0"/>
        <n v="373.0"/>
        <n v="571.0"/>
        <n v="628.0"/>
        <n v="1093.0"/>
        <n v="150.0"/>
        <n v="1102.0"/>
        <n v="673.0"/>
        <n v="2385.0"/>
        <n v="295.0"/>
        <n v="964.0"/>
        <n v="638.0"/>
        <n v="404.0"/>
        <n v="193.0"/>
      </sharedItems>
    </cacheField>
    <cacheField name="RevenueGenerated" numFmtId="166">
      <sharedItems containsSemiMixedTypes="0" containsString="0" containsNumber="1">
        <n v="141214.1"/>
        <n v="8938.48"/>
        <n v="2376.64"/>
        <n v="21437.18"/>
        <n v="24637.21"/>
        <n v="15954.76"/>
        <n v="8720.33"/>
        <n v="585.57"/>
        <n v="99208.55"/>
        <n v="984.77"/>
        <n v="2779.91"/>
        <n v="4356.92"/>
        <n v="18953.68"/>
        <n v="12722.17"/>
        <n v="25400.85"/>
        <n v="65574.09"/>
        <n v="4778.12"/>
        <n v="64897.02"/>
        <n v="73453.51"/>
        <n v="4890.46"/>
        <n v="3841.92"/>
        <n v="24376.5"/>
        <n v="6065.76"/>
        <n v="18087.77"/>
        <n v="2570.25"/>
        <n v="937.07"/>
        <n v="47410.96"/>
        <n v="6872.29"/>
        <n v="1835.89"/>
        <n v="4633.14"/>
        <n v="21143.16"/>
        <n v="6920.21"/>
        <n v="15399.24"/>
        <n v="28403.31"/>
        <n v="6504.02"/>
        <n v="45562.94"/>
        <n v="9131.26"/>
        <n v="2881.79"/>
        <n v="8656.34"/>
        <n v="5747.32"/>
        <n v="24329.13"/>
        <n v="2972.06"/>
        <n v="25218.35"/>
        <n v="26539.862"/>
        <n v="10072.32"/>
        <n v="33194.89"/>
        <n v="26754.05"/>
        <n v="1656.87"/>
        <n v="8143.76"/>
        <n v="40313.21"/>
        <n v="20750.03"/>
        <n v="1768.1"/>
        <n v="8288.12"/>
        <n v="5280.7"/>
        <n v="9684.29"/>
        <n v="17743.07"/>
        <n v="11308.36"/>
        <n v="21751.6"/>
        <n v="36667.98"/>
        <n v="14187.1"/>
        <n v="46585.7"/>
        <n v="3600.53"/>
        <n v="4840.47"/>
        <n v="38138.4"/>
        <n v="6874.16"/>
        <n v="8397.8"/>
        <n v="2553.02"/>
        <n v="3745.33"/>
        <n v="7331.76"/>
        <n v="34622.75"/>
        <n v="27904.84"/>
        <n v="2549.78"/>
        <n v="2996.3"/>
        <n v="18069.41"/>
        <n v="20171.14"/>
        <n v="6847.9"/>
        <n v="8751.08"/>
        <n v="58970.61"/>
        <n v="7750.23"/>
        <n v="6463.89"/>
        <n v="948.6"/>
        <n v="32936.06"/>
        <n v="16406.48"/>
        <n v="22883.442"/>
        <n v="2439.9"/>
        <n v="37401.6"/>
        <n v="32164.14"/>
        <n v="23190.26"/>
        <n v="40561.66"/>
        <n v="3253.08"/>
        <n v="2742.66"/>
        <n v="23589.81"/>
        <n v="21988.47"/>
        <n v="51254.25"/>
        <n v="20193.32"/>
        <n v="44051.6"/>
        <n v="4642.36"/>
        <n v="30489.62"/>
        <n v="8983.21"/>
        <n v="5215.91"/>
        <n v="3981.31"/>
        <n v="2256.4"/>
        <n v="5920.11"/>
        <n v="12921.48"/>
        <n v="2005.55"/>
        <n v="440.88"/>
        <n v="175767.63"/>
        <n v="8989.61"/>
        <n v="73969.82"/>
        <n v="6060.17"/>
        <n v="9105.94"/>
        <n v="1844.65"/>
        <n v="5752.54"/>
        <n v="15764.33"/>
        <n v="9023.54"/>
        <n v="58286.23"/>
        <n v="9555.84"/>
        <n v="4799.84"/>
        <n v="6674.13"/>
        <n v="3342.75"/>
        <n v="43487.55"/>
        <n v="19148.76"/>
        <n v="24785.73"/>
        <n v="15320.89"/>
        <n v="52022.41"/>
        <n v="12881.93"/>
        <n v="11720.41"/>
        <n v="472.74"/>
        <n v="66046.31"/>
        <n v="13693.53"/>
        <n v="22073.1"/>
        <n v="15409.91"/>
        <n v="9666.79"/>
        <n v="17033.24"/>
        <n v="974.9"/>
        <n v="4219.25"/>
        <n v="6220.1"/>
        <n v="5630.48"/>
        <n v="1642.67"/>
        <n v="38694.25"/>
        <n v="23529.76"/>
        <n v="17614.22"/>
        <n v="6971.72"/>
        <n v="4383.99"/>
        <n v="7713.82"/>
        <n v="2095.27"/>
        <n v="3981.64"/>
        <n v="12120.68"/>
        <n v="12469.69"/>
        <n v="45639.25"/>
        <n v="13871.79"/>
        <n v="1737.46"/>
        <n v="12883.81"/>
        <n v="15006.1"/>
        <n v="10064.05"/>
        <n v="19595.59"/>
        <n v="3014.48"/>
        <n v="51494.79"/>
        <n v="21568.44"/>
        <n v="3246.84"/>
        <n v="16408.47"/>
        <n v="81433.33"/>
        <n v="63057.87"/>
        <n v="4992.59"/>
        <n v="51164.81"/>
        <n v="36767.64"/>
        <n v="2300.13"/>
        <n v="34604.26"/>
        <n v="3533.98"/>
        <n v="11162.89"/>
        <n v="8402.94"/>
        <n v="6377.69"/>
        <n v="21285.99"/>
        <n v="87501.06"/>
        <n v="16743.13"/>
        <n v="22787.28"/>
        <n v="12966.29"/>
        <n v="8895.38"/>
        <n v="8439.56"/>
        <n v="51426.12"/>
        <n v="63998.15"/>
        <n v="9202.65"/>
        <n v="5786.17"/>
        <n v="3732.46"/>
        <n v="2050.42"/>
        <n v="17025.79"/>
        <n v="16102.24"/>
        <n v="994.26"/>
        <n v="6353.54"/>
        <n v="12462.84"/>
        <n v="67778.89"/>
        <n v="24807.26"/>
        <n v="24224.34"/>
        <n v="22637.91"/>
        <n v="26231.8"/>
        <n v="8073.92"/>
        <n v="6081.73"/>
        <n v="7203.38"/>
        <n v="12119.9"/>
        <n v="2209.11"/>
        <n v="28427.52"/>
        <n v="10084.67"/>
        <n v="17705.86"/>
        <n v="33160.79"/>
        <n v="8573.74"/>
        <n v="6743.41"/>
        <n v="5621.27"/>
        <n v="21460.35"/>
        <n v="26413.92"/>
        <n v="12925.78"/>
        <n v="925.97"/>
        <n v="35669.97"/>
        <n v="7192.12"/>
        <n v="28275.51"/>
        <n v="17572.68"/>
        <n v="32828.04"/>
        <n v="2981.76"/>
        <n v="43220.03"/>
        <n v="8406.26"/>
        <n v="10002.85"/>
        <n v="36067.5"/>
        <n v="3204.47"/>
        <n v="1349.08"/>
        <n v="2682.08"/>
        <n v="32617.59"/>
        <n v="3830.6"/>
        <n v="6021.14"/>
        <n v="6483.23"/>
        <n v="2253.68"/>
        <n v="26907.25"/>
        <n v="34275.29"/>
        <n v="24423.69"/>
        <n v="1825.53"/>
        <n v="1819.95"/>
        <n v="33318.01"/>
        <n v="3184.89"/>
        <n v="8480.52"/>
        <n v="119246.4"/>
        <n v="13642.73"/>
        <n v="35451.84"/>
        <n v="89346.12"/>
        <n v="18671.1"/>
        <n v="73082.6"/>
        <n v="2907.0"/>
        <n v="27009.35"/>
        <n v="38308.39"/>
        <n v="35536.44"/>
        <n v="27056.92"/>
        <n v="17945.89"/>
        <n v="13149.89"/>
        <n v="977.07"/>
        <n v="2112.8"/>
        <n v="21438.19"/>
        <n v="2872.32"/>
        <n v="9581.14"/>
        <n v="2824.88"/>
        <n v="29096.75"/>
        <n v="10798.54"/>
        <n v="16915.12"/>
        <n v="35610.93"/>
        <n v="11787.0"/>
        <n v="54556.18"/>
        <n v="3575.64"/>
        <n v="2268.27"/>
        <n v="64893.55"/>
        <n v="28978.9"/>
        <n v="3428.84"/>
        <n v="96791.1"/>
        <n v="125105.6"/>
        <n v="2714.81"/>
        <n v="10587.65"/>
        <n v="860.12"/>
        <n v="3689.4"/>
        <n v="57343.63"/>
        <n v="7531.62"/>
        <n v="23428.71"/>
        <n v="6798.76"/>
        <n v="46139.96"/>
        <n v="24238.56"/>
        <n v="4638.8"/>
        <n v="31045.96"/>
        <n v="14076.41"/>
        <n v="14436.71"/>
        <n v="49391.65"/>
        <n v="4997.62"/>
        <n v="1165.81"/>
        <n v="6616.89"/>
        <n v="13483.4"/>
        <n v="2419.27"/>
        <n v="10530.51"/>
        <n v="6974.19"/>
        <n v="1257.0"/>
        <n v="6829.43"/>
        <n v="64369.69"/>
        <n v="17872.95"/>
        <n v="3643.93"/>
        <n v="13152.49"/>
        <n v="12327.81"/>
        <n v="10679.74"/>
        <n v="16013.82"/>
        <n v="218918.8"/>
        <n v="30528.78"/>
        <n v="19736.57"/>
        <n v="6440.5"/>
        <n v="27080.03"/>
        <n v="2171.88"/>
        <n v="4196.45"/>
        <n v="42081.09"/>
        <n v="15937.12"/>
        <n v="68449.56"/>
        <n v="19269.42"/>
        <n v="1872.13"/>
        <n v="13837.66"/>
        <n v="14310.21"/>
        <n v="21642.28"/>
        <n v="1814.89"/>
        <n v="8332.78"/>
        <n v="29318.01"/>
        <n v="14779.37"/>
        <n v="4498.86"/>
        <n v="10390.42"/>
        <n v="53150.46"/>
        <n v="18298.93"/>
        <n v="10220.0"/>
        <n v="865821.89"/>
        <n v="33448.16"/>
        <n v="8304.61"/>
        <n v="18140.13"/>
        <n v="1657.41"/>
        <n v="15033.96"/>
        <n v="49659.65"/>
        <n v="5438.59"/>
        <n v="5520.48"/>
        <n v="5799.01"/>
        <n v="1654.6"/>
        <n v="4205.98"/>
        <n v="3512.23"/>
        <n v="22132.31"/>
        <n v="17709.52"/>
        <n v="4099.9"/>
        <n v="16599.0"/>
        <n v="13409.84"/>
        <n v="8726.6"/>
        <n v="8628.29"/>
        <n v="17846.38"/>
        <n v="51749.63"/>
        <n v="2854.29"/>
        <n v="4264.86"/>
        <n v="1664.02"/>
        <n v="2174.26"/>
        <n v="8476.11"/>
        <n v="72255.17"/>
        <n v="8968.85"/>
        <n v="2130.55"/>
        <n v="28183.44"/>
        <n v="3991.06"/>
        <n v="6154.58"/>
        <n v="114091.28"/>
        <n v="5216.41"/>
        <n v="16811.44"/>
        <n v="23867.55"/>
        <n v="2251.86"/>
        <n v="14994.24"/>
        <n v="14354.61"/>
        <n v="3298.96"/>
        <n v="43089.28"/>
        <n v="709.72"/>
        <n v="5968.92"/>
        <n v="5841.33"/>
        <n v="24311.7"/>
        <n v="29295.47"/>
        <n v="2890.51"/>
        <n v="20850.24"/>
        <n v="1610.32"/>
        <n v="5427.06"/>
        <n v="14363.88"/>
        <n v="1558.92"/>
        <n v="15707.99"/>
        <n v="20353.35"/>
        <n v="4271.48"/>
        <n v="7273.23"/>
        <n v="42193.94"/>
        <n v="42011.43"/>
        <n v="78057.53"/>
        <n v="8003.23"/>
        <n v="4792.98"/>
        <n v="8859.41"/>
        <n v="1502.42"/>
        <n v="2464.65"/>
        <n v="5911.62"/>
        <n v="88319.9"/>
        <n v="38910.89"/>
        <n v="17629.96"/>
        <n v="4600.98"/>
        <n v="1890.34"/>
        <n v="12645.17"/>
        <n v="40474.19"/>
        <n v="8837.64"/>
        <n v="6947.3"/>
        <n v="5386.48"/>
        <n v="5757.82"/>
        <n v="61426.44"/>
        <n v="74786.92"/>
        <n v="6347.29"/>
        <n v="32395.03"/>
        <n v="86558.39"/>
        <n v="3233.5"/>
        <n v="16501.0"/>
        <n v="49793.53"/>
        <n v="7698.91"/>
        <n v="7603.16"/>
        <n v="5483.39"/>
        <n v="2057.33"/>
        <n v="13514.69"/>
        <n v="1213.04"/>
        <n v="26712.35"/>
        <n v="1432.18"/>
        <n v="36998.38"/>
        <n v="8313.91"/>
        <n v="113479.68"/>
        <n v="6913.81"/>
        <n v="22967.89"/>
        <n v="2415.75"/>
        <n v="3735.25"/>
        <n v="9494.97"/>
        <n v="7107.79"/>
        <n v="1723.3"/>
        <n v="1771.03"/>
        <n v="41721.46"/>
        <n v="1068.52"/>
        <n v="1740.43"/>
        <n v="29488.21"/>
        <n v="5279.76"/>
        <n v="23404.29"/>
        <n v="9897.42"/>
        <n v="32728.06"/>
        <n v="33022.36"/>
        <n v="36889.86"/>
        <n v="1921.92"/>
        <n v="4645.22"/>
        <n v="26761.72"/>
        <n v="21777.29"/>
        <n v="11699.64"/>
        <n v="55862.54"/>
        <n v="3421.89"/>
        <n v="28411.27"/>
        <n v="47921.58"/>
        <n v="33066.7"/>
        <n v="38493.86"/>
        <n v="7279.73"/>
        <n v="7796.47"/>
        <n v="9648.99"/>
        <n v="12302.34"/>
        <n v="87654.2"/>
        <n v="11252.02"/>
        <n v="5896.14"/>
        <n v="5950.44"/>
        <n v="22903.78"/>
        <n v="77283.89"/>
        <n v="33620.69"/>
        <n v="3930.47"/>
        <n v="18141.56"/>
        <n v="14596.27"/>
        <n v="33797.82"/>
        <n v="19245.73"/>
        <n v="3509.09"/>
        <n v="8004.64"/>
        <n v="4714.74"/>
        <n v="412543.88"/>
        <n v="22517.87"/>
        <n v="470706.11"/>
        <n v="17901.47"/>
        <n v="4966.21"/>
        <n v="5915.15"/>
        <n v="19655.19"/>
        <n v="45691.75"/>
        <n v="12186.84"/>
        <n v="4892.98"/>
        <n v="12162.37"/>
        <n v="41602.58"/>
        <n v="27143.1"/>
        <n v="65797.18"/>
        <n v="12592.23"/>
        <n v="1575.01"/>
        <n v="171206.58"/>
        <n v="9844.92"/>
        <n v="43870.59"/>
        <n v="12859.8"/>
        <n v="10764.9"/>
        <n v="86394.69"/>
        <n v="16153.13"/>
        <n v="35179.98"/>
        <n v="3658.59"/>
        <n v="15663.86"/>
        <n v="8771.97"/>
        <n v="1094.71"/>
        <n v="24965.98"/>
        <n v="78071.28"/>
        <n v="4241.16"/>
        <n v="6421.65"/>
        <n v="39619.46"/>
        <n v="7578.82"/>
        <n v="11182.25"/>
        <n v="18472.38"/>
        <n v="2885.7"/>
        <n v="784.96"/>
        <n v="11130.54"/>
        <n v="2110.16"/>
        <n v="7531.74"/>
        <n v="19734.86"/>
        <n v="16406.06"/>
        <n v="23355.35"/>
        <n v="58645.6"/>
        <n v="2725.6"/>
        <n v="7037.22"/>
        <n v="38262.51"/>
        <n v="1618.0"/>
        <n v="129372.44"/>
        <n v="10534.29"/>
        <n v="1559.53"/>
        <n v="33539.4"/>
        <n v="38614.64"/>
        <n v="7044.19"/>
        <n v="28188.93"/>
        <n v="64715.23"/>
        <n v="13165.28"/>
        <n v="3875.1"/>
        <n v="13547.68"/>
        <n v="4729.88"/>
        <n v="1327.97"/>
        <n v="42124.13"/>
        <n v="13820.38"/>
        <n v="19061.49"/>
        <n v="2503.49"/>
        <n v="13648.46"/>
        <n v="13929.1"/>
        <n v="13833.76"/>
        <n v="135732.86"/>
        <n v="4580.66"/>
        <n v="11793.76"/>
        <n v="40619.0"/>
        <n v="22385.13"/>
        <n v="37973.33"/>
        <n v="5388.56"/>
        <n v="2264.39"/>
        <n v="11987.72"/>
        <n v="42778.25"/>
        <n v="18046.34"/>
        <n v="3625.46"/>
        <n v="11578.54"/>
        <n v="7704.36"/>
        <n v="2120.69"/>
        <n v="9631.52"/>
        <n v="62205.92"/>
        <n v="41184.25"/>
        <n v="9041.51"/>
        <n v="31230.42"/>
        <n v="4662.62"/>
        <n v="2199.67"/>
        <n v="19916.99"/>
        <n v="1278.87"/>
        <n v="6202.54"/>
        <n v="2862.52"/>
        <n v="1299.56"/>
        <n v="23878.79"/>
        <n v="11687.63"/>
        <n v="2693.71"/>
        <n v="24124.77"/>
        <n v="4457.4"/>
        <n v="6776.22"/>
        <n v="283543.58"/>
        <n v="171824.52"/>
        <n v="12697.29"/>
        <n v="31474.28"/>
        <n v="12776.97"/>
        <n v="17072.58"/>
        <n v="8247.48"/>
        <n v="2540.76"/>
        <n v="117052.94"/>
        <n v="12444.05"/>
        <n v="5392.79"/>
        <n v="38651.69"/>
        <n v="4894.37"/>
        <n v="4818.14"/>
        <n v="15968.95"/>
        <n v="1311.01"/>
        <n v="4854.13"/>
        <n v="1277.04"/>
        <n v="4586.69"/>
        <n v="21827.06"/>
        <n v="12879.27"/>
        <n v="10638.42"/>
        <n v="34128.76"/>
        <n v="6006.25"/>
        <n v="153971.25"/>
        <n v="66139.1"/>
        <n v="6334.2"/>
        <n v="181327.83"/>
        <n v="11279.34"/>
        <n v="38128.02"/>
        <n v="8305.18"/>
        <n v="21427.41"/>
        <n v="1637.2"/>
        <n v="4720.8"/>
        <n v="7855.24"/>
        <n v="5473.56"/>
        <n v="4988.15"/>
        <n v="6678.81"/>
        <n v="70163.15"/>
        <n v="8687.95"/>
        <n v="5054.17"/>
        <n v="6875.44"/>
        <n v="1795.42"/>
        <n v="85397.58"/>
        <n v="3248.65"/>
        <n v="19373.39"/>
        <n v="35775.44"/>
        <n v="22410.82"/>
        <n v="2533.98"/>
        <n v="73670.79"/>
        <n v="34763.38"/>
        <n v="1471.42"/>
        <n v="7341.64"/>
        <n v="39580.48"/>
        <n v="76137.27"/>
        <n v="31995.17"/>
        <n v="8430.12"/>
        <n v="7976.91"/>
        <n v="5984.48"/>
        <n v="22673.25"/>
        <n v="56912.89"/>
        <n v="54150.28"/>
        <n v="2688.15"/>
        <n v="218005.05"/>
        <n v="10064.87"/>
        <n v="35789.49"/>
        <n v="20014.46"/>
        <n v="56978.14"/>
        <n v="3775.37"/>
        <n v="3558.43"/>
        <n v="54282.53"/>
        <n v="15761.62"/>
        <n v="7570.42"/>
        <n v="79968.22"/>
        <n v="16329.27"/>
        <n v="155434.74"/>
        <n v="48470.4"/>
        <n v="80186.18"/>
        <n v="2630.87"/>
        <n v="2991.87"/>
        <n v="2080.34"/>
        <n v="11732.55"/>
        <n v="2740.95"/>
        <n v="7517.96"/>
        <n v="24464.52"/>
        <n v="2622.61"/>
        <n v="3130.96"/>
        <n v="12345.15"/>
        <n v="20913.49"/>
        <n v="3279.42"/>
        <n v="3522.74"/>
        <n v="1499.67"/>
        <n v="5569.9"/>
        <n v="14325.81"/>
        <n v="33038.56"/>
        <n v="252836.3"/>
        <n v="10455.99"/>
        <n v="7061.59"/>
        <n v="2306.88"/>
        <n v="1018.16"/>
        <n v="4871.36"/>
        <n v="22042.24"/>
        <n v="48323.84"/>
        <n v="48762.0"/>
        <n v="199.52"/>
        <n v="37394.19"/>
        <n v="1624.71"/>
        <n v="27383.86"/>
        <n v="1026.28"/>
        <n v="10597.46"/>
        <n v="4826.22"/>
        <n v="54232.6"/>
        <n v="2366.91"/>
        <n v="94530.6"/>
        <n v="2384.12"/>
        <n v="1148.12"/>
        <n v="2361.04"/>
        <n v="28509.03"/>
        <n v="13900.85"/>
        <n v="4528.33"/>
        <n v="1730.59"/>
        <n v="34288.89"/>
        <n v="3105.71"/>
        <n v="11398.35"/>
        <n v="968.56"/>
        <n v="149517.46"/>
        <n v="39074.06"/>
        <n v="2517.7"/>
        <n v="13151.05"/>
        <n v="29823.48"/>
        <n v="25222.46"/>
        <n v="373709.25"/>
        <n v="3535.63"/>
        <n v="21143.42"/>
        <n v="72306.1"/>
        <n v="4541.52"/>
        <n v="5440.05"/>
        <n v="2428.05"/>
        <n v="13588.01"/>
        <n v="73841.19"/>
        <n v="37000.09"/>
        <n v="4735.99"/>
        <n v="4951.39"/>
        <n v="130664.36"/>
        <n v="74397.62"/>
        <n v="11111.38"/>
        <n v="92200.14"/>
        <n v="26609.12"/>
        <n v="25872.71"/>
        <n v="21154.59"/>
        <n v="13337.64"/>
        <n v="8779.83"/>
        <n v="4611.76"/>
        <n v="29870.59"/>
        <n v="2244.2"/>
        <n v="9511.95"/>
        <n v="5733.85"/>
        <n v="18911.48"/>
        <n v="26568.2"/>
        <n v="34323.24"/>
        <n v="15791.25"/>
        <n v="8389.06"/>
        <n v="2893.23"/>
        <n v="74722.15"/>
        <n v="2117.75"/>
        <n v="28009.28"/>
        <n v="8454.39"/>
        <n v="11089.72"/>
        <n v="725.5"/>
        <n v="3420.65"/>
        <n v="18939.36"/>
        <n v="11711.58"/>
        <n v="14100.15"/>
        <n v="1802.79"/>
        <n v="17229.95"/>
        <n v="9834.51"/>
        <n v="1454.91"/>
        <n v="12066.08"/>
        <n v="2803.89"/>
        <n v="113161.39"/>
        <n v="13700.67"/>
        <n v="3736.41"/>
        <n v="2028.84"/>
        <n v="18347.97"/>
        <n v="15348.01"/>
        <n v="1497.61"/>
        <n v="2671.39"/>
        <n v="591.09"/>
        <n v="5101.93"/>
        <n v="21442.18"/>
        <n v="6355.7"/>
        <n v="1680.64"/>
        <n v="74073.33"/>
        <n v="13421.57"/>
        <n v="74153.7"/>
        <n v="19495.46"/>
        <n v="6019.4"/>
        <n v="27358.82"/>
        <n v="12259.93"/>
        <n v="6888.53"/>
        <n v="16528.61"/>
        <n v="14638.37"/>
        <n v="60342.22"/>
        <n v="1393.12"/>
        <n v="12756.65"/>
        <n v="4950.13"/>
        <n v="11233.96"/>
        <n v="16707.51"/>
        <n v="63665.1"/>
        <n v="59273.59"/>
        <n v="19174.87"/>
        <n v="43883.41"/>
        <n v="11537.87"/>
        <n v="95258.08"/>
        <n v="8073.57"/>
        <n v="16607.91"/>
        <n v="2908.26"/>
        <n v="5022.89"/>
        <n v="4369.68"/>
        <n v="7883.74"/>
        <n v="27643.95"/>
        <n v="7026.8"/>
        <n v="15589.73"/>
        <n v="8610.48"/>
        <n v="2785.08"/>
        <n v="54778.91"/>
        <n v="7699.51"/>
        <n v="20060.38"/>
        <n v="6581.53"/>
        <n v="44332.53"/>
        <n v="16552.31"/>
        <n v="4086.07"/>
        <n v="3019.59"/>
        <n v="2568.97"/>
        <n v="3546.3"/>
        <n v="7851.65"/>
        <n v="10910.26"/>
        <n v="5060.7"/>
        <n v="4534.88"/>
        <n v="9877.78"/>
        <n v="1077.77"/>
        <n v="11742.16"/>
        <n v="3248.56"/>
        <n v="12792.74"/>
        <n v="37225.87"/>
        <n v="4752.62"/>
        <n v="13459.01"/>
        <n v="15086.01"/>
        <n v="15023.35"/>
        <n v="22241.28"/>
        <n v="12665.3"/>
        <n v="36071.62"/>
        <n v="35945.39"/>
        <n v="2694.75"/>
        <n v="11076.81"/>
        <n v="14238.45"/>
        <n v="2099.67"/>
        <n v="29645.49"/>
        <n v="3897.94"/>
        <n v="20159.49"/>
        <n v="31012.88"/>
        <n v="32113.5"/>
        <n v="54542.26"/>
        <n v="2536.97"/>
        <n v="16589.51"/>
        <n v="7759.59"/>
        <n v="11942.87"/>
        <n v="12886.25"/>
        <n v="42516.52"/>
        <n v="8557.03"/>
        <n v="17587.54"/>
        <n v="11253.24"/>
        <n v="43001.05"/>
        <n v="15540.5"/>
        <n v="31727.21"/>
        <n v="91697.45"/>
        <n v="2107.06"/>
        <n v="13882.97"/>
        <n v="5920.99"/>
        <n v="21286.71"/>
        <n v="51472.17"/>
        <n v="11512.9"/>
        <n v="81977.01"/>
        <n v="29393.05"/>
        <n v="9550.64"/>
        <n v="15970.26"/>
        <n v="1938.37"/>
        <n v="7910.46"/>
        <n v="6373.41"/>
        <n v="17210.2"/>
        <n v="1729.91"/>
        <n v="160029.49"/>
        <n v="4308.87"/>
        <n v="4590.53"/>
        <n v="26246.05"/>
        <n v="165689.19"/>
        <n v="39330.52"/>
        <n v="1576.68"/>
        <n v="6982.74"/>
        <n v="1888.84"/>
        <n v="48797.98"/>
        <n v="5480.76"/>
        <n v="4307.32"/>
        <n v="2973.51"/>
        <n v="13015.41"/>
        <n v="29116.3"/>
        <n v="9709.93"/>
        <n v="2209.25"/>
        <n v="2736.82"/>
        <n v="4978.54"/>
        <n v="43582.29"/>
        <n v="1107.96"/>
        <n v="57181.59"/>
        <n v="5633.68"/>
        <n v="37221.02"/>
        <n v="4170.95"/>
        <n v="63761.66"/>
        <n v="14622.19"/>
        <n v="10225.4"/>
        <n v="42818.6"/>
        <n v="6997.69"/>
        <n v="4223.44"/>
        <n v="8913.1"/>
        <n v="3909.99"/>
        <n v="1876.45"/>
        <n v="3494.45"/>
        <n v="6010.9"/>
        <n v="2466.56"/>
        <n v="13233.55"/>
        <n v="21011.02"/>
        <n v="1229.78"/>
        <n v="16319.48"/>
        <n v="14547.89"/>
        <n v="60153.88"/>
        <n v="1210.29"/>
        <n v="2423.95"/>
        <n v="5923.94"/>
        <n v="2138.07"/>
        <n v="6291.26"/>
        <n v="26123.61"/>
        <n v="6530.11"/>
        <n v="79183.5"/>
        <n v="26601.3"/>
        <n v="57546.47"/>
        <n v="12023.92"/>
        <n v="17189.58"/>
        <n v="279.87"/>
        <n v="14144.17"/>
        <n v="32192.24"/>
        <n v="810.37"/>
        <n v="3235.4"/>
        <n v="57334.26"/>
        <n v="4327.01"/>
        <n v="4086.39"/>
        <n v="1913.57"/>
        <n v="14395.85"/>
        <n v="4267.11"/>
        <n v="10420.54"/>
        <n v="109146.51"/>
        <n v="17045.02"/>
        <n v="4077.62"/>
        <n v="11965.17"/>
        <n v="12106.62"/>
        <n v="147488.79"/>
        <n v="11142.41"/>
        <n v="2129.81"/>
        <n v="3115.84"/>
        <n v="4745.92"/>
        <n v="5156.04"/>
        <n v="12589.05"/>
        <n v="48768.68"/>
        <n v="203961.29"/>
        <n v="48649.86"/>
        <n v="34851.17"/>
        <n v="11198.67"/>
        <n v="25889.24"/>
        <n v="3512.89"/>
        <n v="3803.61"/>
        <n v="31750.79"/>
        <n v="8309.16"/>
        <n v="20908.9"/>
        <n v="18845.27"/>
        <n v="11294.92"/>
        <n v="19036.79"/>
        <n v="29962.53"/>
        <n v="12205.7"/>
        <n v="245383.02"/>
        <n v="19106.74"/>
        <n v="2184.0"/>
        <n v="10106.77"/>
        <n v="18669.42"/>
        <n v="2916.97"/>
        <n v="2471.84"/>
        <n v="100730.93"/>
        <n v="1086.85"/>
        <n v="10025.86"/>
        <n v="1657.92"/>
        <n v="76271.88"/>
        <n v="6812.49"/>
        <n v="27471.8"/>
        <n v="1483.19"/>
        <n v="39979.89"/>
        <n v="2699.73"/>
        <n v="12228.46"/>
        <n v="5674.45"/>
        <n v="3144.28"/>
        <n v="1598.99"/>
        <n v="111129.74"/>
        <n v="47039.54"/>
        <n v="801.43"/>
        <n v="22133.97"/>
        <n v="4508.03"/>
        <n v="11437.55"/>
        <n v="48883.15"/>
        <n v="23906.62"/>
        <n v="15235.47"/>
        <n v="54319.5"/>
        <n v="23481.19"/>
        <n v="17851.28"/>
        <n v="11333.54"/>
        <n v="6735.74"/>
        <n v="62881.0"/>
        <n v="5149.97"/>
        <n v="1513.96"/>
        <n v="1264.5"/>
        <n v="23751.23"/>
        <n v="3076.77"/>
        <n v="105052.93"/>
        <n v="416.02"/>
        <n v="4787.41"/>
        <n v="27050.47"/>
        <n v="2025.51"/>
        <n v="51074.64"/>
        <n v="9539.39"/>
        <n v="3188.57"/>
        <n v="18588.09"/>
        <n v="960.25"/>
        <n v="5095.71"/>
        <n v="13250.69"/>
        <n v="5780.78"/>
        <n v="13303.57"/>
        <n v="12906.44"/>
        <n v="3723.79"/>
        <n v="6392.72"/>
        <n v="3984.04"/>
        <n v="61469.7"/>
        <n v="4776.7"/>
        <n v="31965.82"/>
        <n v="2956.74"/>
        <n v="7202.82"/>
        <n v="3716.85"/>
        <n v="25419.05"/>
        <n v="1511.3"/>
        <n v="185000.85"/>
        <n v="2345.4"/>
        <n v="6265.96"/>
        <n v="5015.78"/>
        <n v="46345.75"/>
        <n v="30790.54"/>
        <n v="22741.71"/>
        <n v="15936.94"/>
        <n v="30723.96"/>
        <n v="41593.77"/>
        <n v="18245.54"/>
        <n v="5953.88"/>
        <n v="14446.69"/>
        <n v="825.4"/>
        <n v="3337.6"/>
        <n v="15624.33"/>
        <n v="1341.26"/>
        <n v="82017.66"/>
        <n v="87086.68"/>
        <n v="150103.31"/>
        <n v="13111.39"/>
        <n v="10841.87"/>
        <n v="12270.35"/>
        <n v="4764.82"/>
        <n v="18378.47"/>
        <n v="6359.11"/>
        <n v="7774.62"/>
        <n v="23673.48"/>
        <n v="78169.08"/>
        <n v="43384.36"/>
        <n v="9616.12"/>
        <n v="34431.97"/>
        <n v="36652.4"/>
        <n v="28839.84"/>
        <n v="2534.24"/>
        <n v="3490.92"/>
        <n v="74442.78"/>
        <n v="3128.19"/>
        <n v="28162.53"/>
        <n v="31602.56"/>
        <n v="4967.39"/>
        <n v="1339.82"/>
        <n v="5381.6"/>
        <n v="15667.07"/>
        <n v="1613.98"/>
        <n v="6169.5"/>
        <n v="27057.63"/>
        <n v="93171.64"/>
        <n v="8435.55"/>
        <n v="9682.25"/>
        <n v="3530.12"/>
        <n v="47715.13"/>
        <n v="216552.13"/>
        <n v="2230.54"/>
        <n v="21527.87"/>
        <n v="135393.43"/>
        <n v="22482.48"/>
        <n v="62082.66"/>
        <n v="60512.55"/>
        <n v="23123.41"/>
        <n v="2115.5"/>
        <n v="1207.24"/>
        <n v="4661.15"/>
        <n v="12992.37"/>
        <n v="25367.09"/>
        <n v="27827.28"/>
        <n v="2540.42"/>
        <n v="3229.51"/>
        <n v="10652.29"/>
        <n v="14022.94"/>
        <n v="6961.36"/>
        <n v="12446.74"/>
        <n v="10936.52"/>
        <n v="18584.22"/>
        <n v="4550.92"/>
        <n v="746.85"/>
        <n v="12571.7"/>
        <n v="8518.46"/>
        <n v="26270.88"/>
        <n v="12076.82"/>
        <n v="1789.63"/>
        <n v="1976.9"/>
        <n v="38117.98"/>
        <n v="18526.62"/>
        <n v="5990.76"/>
        <n v="8718.31"/>
        <n v="62488.43"/>
        <n v="154206.46"/>
        <n v="23170.93"/>
        <n v="8283.45"/>
        <n v="19413.49"/>
        <n v="7179.68"/>
        <n v="20878.48"/>
        <n v="5760.65"/>
        <n v="13977.69"/>
        <n v="11969.39"/>
        <n v="3582.49"/>
        <n v="3335.35"/>
        <n v="5726.5"/>
        <n v="28855.81"/>
        <n v="17617.89"/>
        <n v="6051.58"/>
        <n v="14552.82"/>
        <n v="7243.85"/>
      </sharedItems>
    </cacheField>
    <cacheField name="Clicks" numFmtId="3">
      <sharedItems containsSemiMixedTypes="0" containsString="0" containsNumber="1" containsInteger="1">
        <n v="39128.0"/>
        <n v="11255.0"/>
        <n v="30403.0"/>
        <n v="15839.0"/>
        <n v="37784.0"/>
        <n v="8157.0"/>
        <n v="60021.0"/>
        <n v="30096.0"/>
        <n v="83259.0"/>
        <n v="3485.0"/>
        <n v="18853.0"/>
        <n v="11800.0"/>
        <n v="23274.0"/>
        <n v="18036.0"/>
        <n v="76070.0"/>
        <n v="79872.0"/>
        <n v="19627.0"/>
        <n v="35663.0"/>
        <n v="50374.0"/>
        <n v="3706.0"/>
        <n v="19412.0"/>
        <n v="30443.0"/>
        <n v="22174.0"/>
        <n v="17520.0"/>
        <n v="27115.0"/>
        <n v="11015.0"/>
        <n v="32381.0"/>
        <n v="21178.0"/>
        <n v="9358.0"/>
        <n v="16137.0"/>
        <n v="19865.0"/>
        <n v="27466.0"/>
        <n v="56580.0"/>
        <n v="33100.0"/>
        <n v="6026.0"/>
        <n v="26434.0"/>
        <n v="11609.0"/>
        <n v="20797.0"/>
        <n v="63464.0"/>
        <n v="6864.0"/>
        <n v="22222.0"/>
        <n v="4118.0"/>
        <n v="13424.0"/>
        <n v="19489.0"/>
        <n v="36801.0"/>
        <n v="13870.0"/>
        <n v="8736.0"/>
        <n v="3595.0"/>
        <n v="5557.0"/>
        <n v="23208.0"/>
        <n v="5462.0"/>
        <n v="20496.0"/>
        <n v="17962.0"/>
        <n v="16977.0"/>
        <n v="40670.0"/>
        <n v="11779.0"/>
        <n v="23417.0"/>
        <n v="12461.0"/>
        <n v="19819.0"/>
        <n v="35423.0"/>
        <n v="5248.0"/>
        <n v="9713.0"/>
        <n v="28654.0"/>
        <n v="8950.0"/>
        <n v="12889.0"/>
        <n v="5381.0"/>
        <n v="32935.0"/>
        <n v="8588.0"/>
        <n v="15694.0"/>
        <n v="45537.0"/>
        <n v="2443.0"/>
        <n v="25292.0"/>
        <n v="33842.0"/>
        <n v="14384.0"/>
        <n v="23412.0"/>
        <n v="23627.0"/>
        <n v="13641.0"/>
        <n v="50175.0"/>
        <n v="18987.0"/>
        <n v="6540.0"/>
        <n v="7260.0"/>
        <n v="26971.0"/>
        <n v="17112.0"/>
        <n v="5777.0"/>
        <n v="57478.0"/>
        <n v="81352.0"/>
        <n v="65753.0"/>
        <n v="22473.0"/>
        <n v="5297.0"/>
        <n v="3237.0"/>
        <n v="30726.0"/>
        <n v="19793.0"/>
        <n v="16353.0"/>
        <n v="24714.0"/>
        <n v="16831.0"/>
        <n v="5008.0"/>
        <n v="40766.0"/>
        <n v="7863.0"/>
        <n v="19950.0"/>
        <n v="23558.0"/>
        <n v="7813.0"/>
        <n v="12545.0"/>
        <n v="2887.0"/>
        <n v="6780.0"/>
        <n v="3745.0"/>
        <n v="64256.0"/>
        <n v="39492.0"/>
        <n v="39930.0"/>
        <n v="4861.0"/>
        <n v="21705.0"/>
        <n v="12983.0"/>
        <n v="23815.0"/>
        <n v="29331.0"/>
        <n v="20889.0"/>
        <n v="23288.0"/>
        <n v="42182.0"/>
        <n v="12397.0"/>
        <n v="23130.0"/>
        <n v="18689.0"/>
        <n v="34175.0"/>
        <n v="12067.0"/>
        <n v="12521.0"/>
        <n v="10099.0"/>
        <n v="81055.0"/>
        <n v="42334.0"/>
        <n v="29950.0"/>
        <n v="4557.0"/>
        <n v="41880.0"/>
        <n v="69595.0"/>
        <n v="12994.0"/>
        <n v="64743.0"/>
        <n v="5315.0"/>
        <n v="37443.0"/>
        <n v="5813.0"/>
        <n v="28243.0"/>
        <n v="8122.0"/>
        <n v="23931.0"/>
        <n v="16094.0"/>
        <n v="35689.0"/>
        <n v="36382.0"/>
        <n v="9638.0"/>
        <n v="19544.0"/>
        <n v="40770.0"/>
        <n v="9427.0"/>
        <n v="22160.0"/>
        <n v="34596.0"/>
        <n v="19562.0"/>
        <n v="14751.0"/>
        <n v="11397.0"/>
        <n v="5993.0"/>
        <n v="32603.0"/>
        <n v="27901.0"/>
        <n v="10180.0"/>
        <n v="6980.0"/>
        <n v="30810.0"/>
        <n v="18730.0"/>
        <n v="36089.0"/>
        <n v="3277.0"/>
        <n v="5606.0"/>
        <n v="41992.0"/>
        <n v="42456.0"/>
        <n v="78833.0"/>
        <n v="7585.0"/>
        <n v="71199.0"/>
        <n v="64241.0"/>
        <n v="11206.0"/>
        <n v="12413.0"/>
        <n v="11365.0"/>
        <n v="46076.0"/>
        <n v="28075.0"/>
        <n v="19054.0"/>
        <n v="68703.0"/>
        <n v="92656.0"/>
        <n v="19640.0"/>
        <n v="21029.0"/>
        <n v="35589.0"/>
        <n v="11398.0"/>
        <n v="12631.0"/>
        <n v="22309.0"/>
        <n v="66986.0"/>
        <n v="13683.0"/>
        <n v="19642.0"/>
        <n v="22739.0"/>
        <n v="19286.0"/>
        <n v="16342.0"/>
        <n v="18783.0"/>
        <n v="6681.0"/>
        <n v="10076.0"/>
        <n v="15498.0"/>
        <n v="37402.0"/>
        <n v="4580.0"/>
        <n v="25350.0"/>
        <n v="16690.0"/>
        <n v="18184.0"/>
        <n v="22904.0"/>
        <n v="10797.0"/>
        <n v="35309.0"/>
        <n v="37915.0"/>
        <n v="2514.0"/>
        <n v="96212.0"/>
        <n v="5836.0"/>
        <n v="12376.0"/>
        <n v="42754.0"/>
        <n v="37410.0"/>
        <n v="16960.0"/>
        <n v="19851.0"/>
        <n v="15952.0"/>
        <n v="9322.0"/>
        <n v="7860.0"/>
        <n v="11588.0"/>
        <n v="39955.0"/>
        <n v="11261.0"/>
        <n v="30300.0"/>
        <n v="75555.0"/>
        <n v="55459.0"/>
        <n v="4854.0"/>
        <n v="14507.0"/>
        <n v="12865.0"/>
        <n v="27896.0"/>
        <n v="39021.0"/>
        <n v="5960.0"/>
        <n v="3161.0"/>
        <n v="19650.0"/>
        <n v="33429.0"/>
        <n v="6643.0"/>
        <n v="59854.0"/>
        <n v="11791.0"/>
        <n v="11666.0"/>
        <n v="17920.0"/>
        <n v="11624.0"/>
        <n v="34554.0"/>
        <n v="8485.0"/>
        <n v="10757.0"/>
        <n v="45237.0"/>
        <n v="27790.0"/>
        <n v="29317.0"/>
        <n v="52068.0"/>
        <n v="26463.0"/>
        <n v="41536.0"/>
        <n v="41323.0"/>
        <n v="41922.0"/>
        <n v="62307.0"/>
        <n v="14910.0"/>
        <n v="5852.0"/>
        <n v="37974.0"/>
        <n v="59378.0"/>
        <n v="34423.0"/>
        <n v="9505.0"/>
        <n v="16052.0"/>
        <n v="5870.0"/>
        <n v="7386.0"/>
        <n v="43948.0"/>
        <n v="13454.0"/>
        <n v="7571.0"/>
        <n v="3481.0"/>
        <n v="28270.0"/>
        <n v="29934.0"/>
        <n v="17461.0"/>
        <n v="27955.0"/>
        <n v="38209.0"/>
        <n v="12951.0"/>
        <n v="39476.0"/>
        <n v="32413.0"/>
        <n v="20099.0"/>
        <n v="8148.0"/>
        <n v="59062.0"/>
        <n v="53123.0"/>
        <n v="15039.0"/>
        <n v="35074.0"/>
        <n v="3947.0"/>
        <n v="24962.0"/>
        <n v="42883.0"/>
        <n v="12520.0"/>
        <n v="14320.0"/>
        <n v="7545.0"/>
        <n v="99160.0"/>
        <n v="67345.0"/>
        <n v="16988.0"/>
        <n v="15342.0"/>
        <n v="74513.0"/>
        <n v="15868.0"/>
        <n v="24012.0"/>
        <n v="12759.0"/>
        <n v="5696.0"/>
        <n v="25707.0"/>
        <n v="16747.0"/>
        <n v="27146.0"/>
        <n v="10765.0"/>
        <n v="10814.0"/>
        <n v="16771.0"/>
        <n v="8283.0"/>
        <n v="32756.0"/>
        <n v="25035.0"/>
        <n v="2298.0"/>
        <n v="10646.0"/>
        <n v="46394.0"/>
        <n v="24960.0"/>
        <n v="14073.0"/>
        <n v="28369.0"/>
        <n v="44907.0"/>
        <n v="40337.0"/>
        <n v="7662.0"/>
        <n v="15008.0"/>
        <n v="7603.0"/>
        <n v="2878.0"/>
        <n v="41699.0"/>
        <n v="27367.0"/>
        <n v="9907.0"/>
        <n v="14722.0"/>
        <n v="8806.0"/>
        <n v="14314.0"/>
        <n v="20092.0"/>
        <n v="8503.0"/>
        <n v="2734.0"/>
        <n v="7495.0"/>
        <n v="54214.0"/>
        <n v="29115.0"/>
        <n v="11323.0"/>
        <n v="17802.0"/>
        <n v="34733.0"/>
        <n v="13680.0"/>
        <n v="35042.0"/>
        <n v="62477.0"/>
        <n v="20871.0"/>
        <n v="19538.0"/>
        <n v="23864.0"/>
        <n v="20107.0"/>
        <n v="10404.0"/>
        <n v="39582.0"/>
        <n v="51123.0"/>
        <n v="6379.0"/>
        <n v="6057.0"/>
        <n v="6666.0"/>
        <n v="8692.0"/>
        <n v="43001.0"/>
        <n v="18266.0"/>
        <n v="8261.0"/>
        <n v="8500.0"/>
        <n v="45395.0"/>
        <n v="17372.0"/>
        <n v="8550.0"/>
        <n v="11379.0"/>
        <n v="53949.0"/>
        <n v="6156.0"/>
        <n v="5725.0"/>
        <n v="6704.0"/>
        <n v="39631.0"/>
        <n v="34926.0"/>
        <n v="24732.0"/>
        <n v="14250.0"/>
        <n v="2519.0"/>
        <n v="29145.0"/>
        <n v="11812.0"/>
        <n v="22139.0"/>
        <n v="40807.0"/>
        <n v="23886.0"/>
        <n v="17404.0"/>
        <n v="44973.0"/>
        <n v="14398.0"/>
        <n v="14918.0"/>
        <n v="12909.0"/>
        <n v="63837.0"/>
        <n v="2722.0"/>
        <n v="20577.0"/>
        <n v="42095.0"/>
        <n v="23841.0"/>
        <n v="36403.0"/>
        <n v="8773.0"/>
        <n v="29913.0"/>
        <n v="25977.0"/>
        <n v="17359.0"/>
        <n v="20422.0"/>
        <n v="12308.0"/>
        <n v="18289.0"/>
        <n v="51141.0"/>
        <n v="31397.0"/>
        <n v="8766.0"/>
        <n v="46758.0"/>
        <n v="82246.0"/>
        <n v="48642.0"/>
        <n v="20318.0"/>
        <n v="6747.0"/>
        <n v="29875.0"/>
        <n v="16865.0"/>
        <n v="4471.0"/>
        <n v="39560.0"/>
        <n v="24310.0"/>
        <n v="27516.0"/>
        <n v="34856.0"/>
        <n v="9002.0"/>
        <n v="17093.0"/>
        <n v="50687.0"/>
        <n v="5600.0"/>
        <n v="54041.0"/>
        <n v="32408.0"/>
        <n v="15412.0"/>
        <n v="21959.0"/>
        <n v="34363.0"/>
        <n v="9438.0"/>
        <n v="14468.0"/>
        <n v="24840.0"/>
        <n v="43365.0"/>
        <n v="36405.0"/>
        <n v="89925.0"/>
        <n v="75402.0"/>
        <n v="22551.0"/>
        <n v="11679.0"/>
        <n v="9491.0"/>
        <n v="40502.0"/>
        <n v="26507.0"/>
        <n v="8428.0"/>
        <n v="41815.0"/>
        <n v="5084.0"/>
        <n v="23935.0"/>
        <n v="16215.0"/>
        <n v="61629.0"/>
        <n v="20661.0"/>
        <n v="25556.0"/>
        <n v="7461.0"/>
        <n v="18558.0"/>
        <n v="23540.0"/>
        <n v="32531.0"/>
        <n v="11987.0"/>
        <n v="22760.0"/>
        <n v="45966.0"/>
        <n v="2980.0"/>
        <n v="17803.0"/>
        <n v="47516.0"/>
        <n v="13813.0"/>
        <n v="19660.0"/>
        <n v="5942.0"/>
        <n v="9573.0"/>
        <n v="40027.0"/>
        <n v="4577.0"/>
        <n v="23996.0"/>
        <n v="32502.0"/>
        <n v="4895.0"/>
        <n v="21213.0"/>
        <n v="44407.0"/>
        <n v="5933.0"/>
        <n v="6478.0"/>
        <n v="9497.0"/>
        <n v="17880.0"/>
        <n v="28875.0"/>
        <n v="32371.0"/>
        <n v="20693.0"/>
        <n v="26128.0"/>
        <n v="22074.0"/>
        <n v="52996.0"/>
        <n v="57529.0"/>
        <n v="11529.0"/>
        <n v="12334.0"/>
        <n v="17311.0"/>
        <n v="64592.0"/>
        <n v="15519.0"/>
        <n v="23642.0"/>
        <n v="20783.0"/>
        <n v="25240.0"/>
        <n v="29447.0"/>
        <n v="14236.0"/>
        <n v="14000.0"/>
        <n v="20600.0"/>
        <n v="8231.0"/>
        <n v="44755.0"/>
        <n v="16827.0"/>
        <n v="32348.0"/>
        <n v="38389.0"/>
        <n v="34699.0"/>
        <n v="31325.0"/>
        <n v="37803.0"/>
        <n v="41527.0"/>
        <n v="32753.0"/>
        <n v="8702.0"/>
        <n v="27980.0"/>
        <n v="21152.0"/>
        <n v="70836.0"/>
        <n v="7696.0"/>
        <n v="31624.0"/>
        <n v="5944.0"/>
        <n v="42463.0"/>
        <n v="8257.0"/>
        <n v="39199.0"/>
        <n v="16390.0"/>
        <n v="30914.0"/>
        <n v="60076.0"/>
        <n v="19429.0"/>
        <n v="32392.0"/>
        <n v="11070.0"/>
        <n v="21356.0"/>
        <n v="10441.0"/>
        <n v="5229.0"/>
        <n v="8540.0"/>
        <n v="19207.0"/>
        <n v="4302.0"/>
        <n v="2952.0"/>
        <n v="19393.0"/>
        <n v="33621.0"/>
        <n v="46029.0"/>
        <n v="59852.0"/>
        <n v="24295.0"/>
        <n v="2709.0"/>
        <n v="32177.0"/>
        <n v="7546.0"/>
        <n v="18504.0"/>
        <n v="10153.0"/>
        <n v="36732.0"/>
        <n v="33084.0"/>
        <n v="69603.0"/>
        <n v="23085.0"/>
        <n v="27283.0"/>
        <n v="94648.0"/>
        <n v="32275.0"/>
        <n v="40895.0"/>
        <n v="16163.0"/>
        <n v="8142.0"/>
        <n v="4934.0"/>
        <n v="24197.0"/>
        <n v="75149.0"/>
        <n v="49092.0"/>
        <n v="50092.0"/>
        <n v="34671.0"/>
        <n v="8107.0"/>
        <n v="10801.0"/>
        <n v="49134.0"/>
        <n v="7301.0"/>
        <n v="10888.0"/>
        <n v="35327.0"/>
        <n v="68745.0"/>
        <n v="7146.0"/>
        <n v="62514.0"/>
        <n v="22072.0"/>
        <n v="41222.0"/>
        <n v="7717.0"/>
        <n v="38582.0"/>
        <n v="30794.0"/>
        <n v="6791.0"/>
        <n v="29721.0"/>
        <n v="40447.0"/>
        <n v="13646.0"/>
        <n v="10260.0"/>
        <n v="40579.0"/>
        <n v="12825.0"/>
        <n v="7523.0"/>
        <n v="28815.0"/>
        <n v="20771.0"/>
        <n v="31040.0"/>
        <n v="16001.0"/>
        <n v="39626.0"/>
        <n v="3856.0"/>
        <n v="9880.0"/>
        <n v="14315.0"/>
        <n v="5736.0"/>
        <n v="27186.0"/>
        <n v="20128.0"/>
        <n v="7290.0"/>
        <n v="11563.0"/>
        <n v="8439.0"/>
        <n v="4080.0"/>
        <n v="6425.0"/>
        <n v="35483.0"/>
        <n v="39012.0"/>
        <n v="16639.0"/>
        <n v="29851.0"/>
        <n v="30838.0"/>
        <n v="98582.0"/>
        <n v="29365.0"/>
        <n v="34594.0"/>
        <n v="22992.0"/>
        <n v="6441.0"/>
        <n v="40046.0"/>
        <n v="26113.0"/>
        <n v="14327.0"/>
        <n v="78987.0"/>
        <n v="17345.0"/>
        <n v="5644.0"/>
        <n v="49778.0"/>
        <n v="13225.0"/>
        <n v="4805.0"/>
        <n v="27420.0"/>
        <n v="12399.0"/>
        <n v="28390.0"/>
        <n v="3729.0"/>
        <n v="14415.0"/>
        <n v="23473.0"/>
        <n v="16258.0"/>
        <n v="46442.0"/>
        <n v="22681.0"/>
        <n v="7385.0"/>
        <n v="63327.0"/>
        <n v="103098.0"/>
        <n v="23725.0"/>
        <n v="47851.0"/>
        <n v="32031.0"/>
        <n v="61439.0"/>
        <n v="12456.0"/>
        <n v="13829.0"/>
        <n v="9159.0"/>
        <n v="15506.0"/>
        <n v="7455.0"/>
        <n v="5665.0"/>
        <n v="13598.0"/>
        <n v="13591.0"/>
        <n v="53197.0"/>
        <n v="28598.0"/>
        <n v="5990.0"/>
        <n v="5623.0"/>
        <n v="19159.0"/>
        <n v="22100.0"/>
        <n v="6677.0"/>
        <n v="33299.0"/>
        <n v="32088.0"/>
        <n v="53367.0"/>
        <n v="6937.0"/>
        <n v="47782.0"/>
        <n v="20378.0"/>
        <n v="42715.0"/>
        <n v="76690.0"/>
        <n v="8964.0"/>
        <n v="30103.0"/>
        <n v="72865.0"/>
        <n v="17188.0"/>
        <n v="8080.0"/>
        <n v="36748.0"/>
        <n v="32037.0"/>
        <n v="44469.0"/>
        <n v="22048.0"/>
        <n v="11052.0"/>
        <n v="18164.0"/>
        <n v="12685.0"/>
        <n v="27763.0"/>
        <n v="20845.0"/>
        <n v="50083.0"/>
        <n v="3821.0"/>
        <n v="3918.0"/>
        <n v="26494.0"/>
        <n v="22707.0"/>
        <n v="16375.0"/>
        <n v="27332.0"/>
        <n v="48430.0"/>
        <n v="13105.0"/>
        <n v="41214.0"/>
        <n v="69870.0"/>
        <n v="9455.0"/>
        <n v="22820.0"/>
        <n v="37055.0"/>
        <n v="13111.0"/>
        <n v="14574.0"/>
        <n v="16439.0"/>
        <n v="23856.0"/>
        <n v="36737.0"/>
        <n v="33628.0"/>
        <n v="27171.0"/>
        <n v="20176.0"/>
        <n v="6033.0"/>
        <n v="13007.0"/>
        <n v="11157.0"/>
        <n v="4699.0"/>
        <n v="31252.0"/>
        <n v="12863.0"/>
        <n v="28835.0"/>
        <n v="6085.0"/>
        <n v="5201.0"/>
        <n v="48221.0"/>
        <n v="3125.0"/>
        <n v="37883.0"/>
        <n v="15088.0"/>
        <n v="48019.0"/>
        <n v="24214.0"/>
        <n v="11792.0"/>
        <n v="26713.0"/>
        <n v="12275.0"/>
        <n v="64455.0"/>
        <n v="55772.0"/>
        <n v="12043.0"/>
        <n v="26349.0"/>
        <n v="63313.0"/>
        <n v="7780.0"/>
        <n v="49235.0"/>
        <n v="14198.0"/>
        <n v="6627.0"/>
        <n v="9535.0"/>
        <n v="34324.0"/>
        <n v="33444.0"/>
        <n v="29977.0"/>
        <n v="5994.0"/>
        <n v="54512.0"/>
        <n v="10395.0"/>
        <n v="13283.0"/>
        <n v="10203.0"/>
        <n v="46012.0"/>
        <n v="20929.0"/>
        <n v="16756.0"/>
        <n v="39360.0"/>
        <n v="25106.0"/>
        <n v="28790.0"/>
        <n v="86997.0"/>
        <n v="10143.0"/>
        <n v="54463.0"/>
        <n v="39168.0"/>
        <n v="15141.0"/>
        <n v="11363.0"/>
        <n v="6533.0"/>
        <n v="11014.0"/>
        <n v="43759.0"/>
        <n v="21839.0"/>
        <n v="26082.0"/>
        <n v="23075.0"/>
        <n v="54388.0"/>
        <n v="21793.0"/>
        <n v="58564.0"/>
        <n v="35555.0"/>
        <n v="35908.0"/>
        <n v="9901.0"/>
        <n v="11287.0"/>
        <n v="31365.0"/>
        <n v="20912.0"/>
        <n v="5011.0"/>
        <n v="12330.0"/>
        <n v="17795.0"/>
        <n v="15007.0"/>
        <n v="15320.0"/>
        <n v="14454.0"/>
        <n v="27917.0"/>
        <n v="60536.0"/>
        <n v="18083.0"/>
        <n v="12012.0"/>
        <n v="19830.0"/>
        <n v="30999.0"/>
        <n v="36094.0"/>
        <n v="10793.0"/>
        <n v="17061.0"/>
        <n v="42024.0"/>
        <n v="28827.0"/>
        <n v="7169.0"/>
        <n v="9656.0"/>
        <n v="4938.0"/>
        <n v="20742.0"/>
        <n v="16491.0"/>
        <n v="9603.0"/>
        <n v="68567.0"/>
        <n v="8192.0"/>
        <n v="53888.0"/>
        <n v="20791.0"/>
        <n v="66826.0"/>
        <n v="14794.0"/>
        <n v="30800.0"/>
        <n v="14016.0"/>
        <n v="10739.0"/>
        <n v="29498.0"/>
        <n v="6575.0"/>
        <n v="8194.0"/>
        <n v="5903.0"/>
        <n v="9452.0"/>
        <n v="43610.0"/>
        <n v="44878.0"/>
        <n v="34975.0"/>
        <n v="21340.0"/>
        <n v="9396.0"/>
        <n v="6959.0"/>
        <n v="39274.0"/>
        <n v="58348.0"/>
        <n v="14117.0"/>
        <n v="71571.0"/>
        <n v="6688.0"/>
        <n v="30285.0"/>
        <n v="9812.0"/>
        <n v="13281.0"/>
        <n v="20458.0"/>
        <n v="27108.0"/>
        <n v="26553.0"/>
        <n v="11730.0"/>
        <n v="21511.0"/>
        <n v="23022.0"/>
        <n v="13787.0"/>
        <n v="8663.0"/>
        <n v="51842.0"/>
        <n v="30074.0"/>
        <n v="12805.0"/>
        <n v="14916.0"/>
        <n v="8901.0"/>
        <n v="14456.0"/>
        <n v="5868.0"/>
        <n v="22182.0"/>
        <n v="17541.0"/>
        <n v="31393.0"/>
        <n v="16225.0"/>
        <n v="11075.0"/>
        <n v="23674.0"/>
        <n v="7255.0"/>
        <n v="20283.0"/>
        <n v="23062.0"/>
        <n v="27057.0"/>
        <n v="15327.0"/>
        <n v="12895.0"/>
        <n v="24307.0"/>
        <n v="16026.0"/>
        <n v="10069.0"/>
        <n v="28541.0"/>
        <n v="21664.0"/>
        <n v="12593.0"/>
        <n v="6708.0"/>
        <n v="21140.0"/>
        <n v="10325.0"/>
        <n v="12310.0"/>
        <n v="4748.0"/>
        <n v="23573.0"/>
        <n v="72155.0"/>
        <n v="6205.0"/>
        <n v="23434.0"/>
        <n v="20858.0"/>
        <n v="22962.0"/>
        <n v="10084.0"/>
        <n v="28395.0"/>
        <n v="27276.0"/>
        <n v="43367.0"/>
        <n v="8206.0"/>
        <n v="23960.0"/>
        <n v="13246.0"/>
        <n v="37254.0"/>
        <n v="12880.0"/>
        <n v="36791.0"/>
        <n v="27667.0"/>
        <n v="22642.0"/>
        <n v="26692.0"/>
        <n v="8198.0"/>
        <n v="37908.0"/>
        <n v="21179.0"/>
        <n v="10063.0"/>
        <n v="9182.0"/>
        <n v="27927.0"/>
        <n v="15120.0"/>
        <n v="42085.0"/>
        <n v="16409.0"/>
        <n v="44096.0"/>
        <n v="10622.0"/>
        <n v="92141.0"/>
        <n v="43293.0"/>
        <n v="7113.0"/>
        <n v="27519.0"/>
        <n v="8817.0"/>
        <n v="13490.0"/>
        <n v="21188.0"/>
        <n v="19225.0"/>
        <n v="53250.0"/>
        <n v="18757.0"/>
        <n v="22133.0"/>
        <n v="21574.0"/>
        <n v="8879.0"/>
        <n v="30883.0"/>
        <n v="7262.0"/>
        <n v="27785.0"/>
        <n v="4912.0"/>
        <n v="39686.0"/>
        <n v="11028.0"/>
        <n v="9316.0"/>
        <n v="20136.0"/>
        <n v="71171.0"/>
        <n v="40741.0"/>
        <n v="9651.0"/>
        <n v="18791.0"/>
        <n v="11317.0"/>
        <n v="32219.0"/>
        <n v="11382.0"/>
        <n v="32230.0"/>
        <n v="10465.0"/>
        <n v="52153.0"/>
        <n v="24322.0"/>
        <n v="38239.0"/>
        <n v="53285.0"/>
        <n v="12512.0"/>
        <n v="10446.0"/>
        <n v="20989.0"/>
        <n v="17546.0"/>
        <n v="42531.0"/>
        <n v="12614.0"/>
        <n v="48336.0"/>
        <n v="37790.0"/>
        <n v="7975.0"/>
        <n v="9722.0"/>
        <n v="26639.0"/>
        <n v="92468.0"/>
        <n v="38490.0"/>
        <n v="30368.0"/>
        <n v="29581.0"/>
        <n v="8180.0"/>
        <n v="15782.0"/>
        <n v="7560.0"/>
        <n v="56766.0"/>
        <n v="66396.0"/>
        <n v="8460.0"/>
        <n v="47902.0"/>
        <n v="15000.0"/>
        <n v="29349.0"/>
        <n v="31817.0"/>
        <n v="5770.0"/>
        <n v="8457.0"/>
        <n v="34439.0"/>
        <n v="11102.0"/>
        <n v="98294.0"/>
        <n v="14879.0"/>
        <n v="15659.0"/>
        <n v="37079.0"/>
        <n v="15878.0"/>
        <n v="9247.0"/>
        <n v="20125.0"/>
        <n v="24164.0"/>
        <n v="7728.0"/>
        <n v="60991.0"/>
        <n v="9372.0"/>
        <n v="14413.0"/>
        <n v="43295.0"/>
        <n v="16276.0"/>
        <n v="11106.0"/>
        <n v="7576.0"/>
        <n v="22531.0"/>
        <n v="22715.0"/>
        <n v="13153.0"/>
        <n v="71070.0"/>
        <n v="18394.0"/>
        <n v="14957.0"/>
        <n v="16485.0"/>
        <n v="21247.0"/>
        <n v="49493.0"/>
        <n v="23543.0"/>
        <n v="15075.0"/>
        <n v="20204.0"/>
        <n v="6387.0"/>
        <n v="5941.0"/>
        <n v="24158.0"/>
        <n v="27882.0"/>
        <n v="27375.0"/>
        <n v="27303.0"/>
        <n v="32489.0"/>
        <n v="7520.0"/>
        <n v="48346.0"/>
        <n v="8652.0"/>
        <n v="17927.0"/>
        <n v="8057.0"/>
        <n v="50688.0"/>
        <n v="20340.0"/>
        <n v="28473.0"/>
        <n v="21807.0"/>
        <n v="29736.0"/>
        <n v="21996.0"/>
        <n v="66479.0"/>
        <n v="50162.0"/>
        <n v="24896.0"/>
        <n v="11100.0"/>
        <n v="7161.0"/>
        <n v="19771.0"/>
        <n v="31977.0"/>
        <n v="42597.0"/>
        <n v="19116.0"/>
        <n v="4270.0"/>
        <n v="3598.0"/>
        <n v="38514.0"/>
        <n v="31298.0"/>
        <n v="23160.0"/>
        <n v="6736.0"/>
        <n v="49416.0"/>
        <n v="24286.0"/>
        <n v="22330.0"/>
        <n v="6553.0"/>
        <n v="20098.0"/>
        <n v="37009.0"/>
        <n v="22356.0"/>
        <n v="14575.0"/>
        <n v="45913.0"/>
        <n v="15511.0"/>
        <n v="60596.0"/>
        <n v="13286.0"/>
        <n v="38092.0"/>
        <n v="12203.0"/>
        <n v="22253.0"/>
        <n v="23929.0"/>
        <n v="25953.0"/>
        <n v="65795.0"/>
        <n v="71936.0"/>
        <n v="23414.0"/>
        <n v="5571.0"/>
        <n v="5512.0"/>
        <n v="24755.0"/>
        <n v="17630.0"/>
        <n v="36032.0"/>
        <n v="15639.0"/>
        <n v="6854.0"/>
        <n v="62741.0"/>
        <n v="5262.0"/>
        <n v="50763.0"/>
        <n v="17331.0"/>
        <n v="4582.0"/>
        <n v="8728.0"/>
        <n v="3431.0"/>
        <n v="9489.0"/>
        <n v="62877.0"/>
        <n v="30587.0"/>
        <n v="19266.0"/>
        <n v="26403.0"/>
        <n v="19395.0"/>
        <n v="9998.0"/>
        <n v="7997.0"/>
        <n v="44243.0"/>
        <n v="30153.0"/>
        <n v="36513.0"/>
        <n v="7670.0"/>
        <n v="18569.0"/>
        <n v="11393.0"/>
        <n v="13924.0"/>
        <n v="4816.0"/>
        <n v="68432.0"/>
        <n v="19033.0"/>
        <n v="13880.0"/>
        <n v="21160.0"/>
        <n v="15081.0"/>
        <n v="24537.0"/>
        <n v="16914.0"/>
        <n v="26612.0"/>
        <n v="25218.0"/>
        <n v="12314.0"/>
        <n v="33256.0"/>
        <n v="72969.0"/>
        <n v="7842.0"/>
        <n v="19462.0"/>
        <n v="11271.0"/>
        <n v="6309.0"/>
        <n v="75785.0"/>
        <n v="65312.0"/>
        <n v="38067.0"/>
        <n v="45527.0"/>
        <n v="6871.0"/>
        <n v="8890.0"/>
        <n v="11664.0"/>
        <n v="26545.0"/>
        <n v="3986.0"/>
        <n v="65126.0"/>
        <n v="42118.0"/>
        <n v="17898.0"/>
        <n v="38766.0"/>
        <n v="10671.0"/>
        <n v="29505.0"/>
        <n v="39738.0"/>
        <n v="18040.0"/>
        <n v="23009.0"/>
        <n v="9545.0"/>
        <n v="30321.0"/>
        <n v="19094.0"/>
        <n v="66746.0"/>
        <n v="16187.0"/>
        <n v="20804.0"/>
        <n v="10720.0"/>
        <n v="21763.0"/>
        <n v="21337.0"/>
        <n v="3217.0"/>
        <n v="17719.0"/>
        <n v="17540.0"/>
        <n v="68952.0"/>
        <n v="25340.0"/>
        <n v="9325.0"/>
        <n v="11310.0"/>
        <n v="32340.0"/>
        <n v="81907.0"/>
        <n v="14887.0"/>
        <n v="12233.0"/>
        <n v="27187.0"/>
        <n v="10035.0"/>
        <n v="7463.0"/>
        <n v="80527.0"/>
        <n v="21134.0"/>
        <n v="13376.0"/>
        <n v="10605.0"/>
        <n v="10944.0"/>
        <n v="2373.0"/>
        <n v="9495.0"/>
        <n v="21974.0"/>
        <n v="9258.0"/>
        <n v="6691.0"/>
        <n v="21810.0"/>
        <n v="15540.0"/>
        <n v="3677.0"/>
        <n v="14126.0"/>
        <n v="78791.0"/>
        <n v="70862.0"/>
        <n v="7569.0"/>
        <n v="21328.0"/>
        <n v="8049.0"/>
        <n v="33504.0"/>
        <n v="25085.0"/>
        <n v="20966.0"/>
        <n v="40033.0"/>
        <n v="15517.0"/>
        <n v="14868.0"/>
        <n v="15926.0"/>
        <n v="6229.0"/>
        <n v="49249.0"/>
        <n v="46146.0"/>
        <n v="34261.0"/>
        <n v="10929.0"/>
        <n v="31834.0"/>
        <n v="15457.0"/>
        <n v="9475.0"/>
        <n v="59503.0"/>
        <n v="12676.0"/>
        <n v="27111.0"/>
        <n v="9048.0"/>
        <n v="3550.0"/>
        <n v="11789.0"/>
        <n v="16054.0"/>
        <n v="14883.0"/>
        <n v="13733.0"/>
        <n v="46290.0"/>
        <n v="8056.0"/>
      </sharedItems>
    </cacheField>
    <cacheField name="Impressions" numFmtId="3">
      <sharedItems containsSemiMixedTypes="0" containsString="0" containsNumber="1" containsInteger="1">
        <n v="978200.0"/>
        <n v="213845.0"/>
        <n v="334433.0"/>
        <n v="475170.0"/>
        <n v="453408.0"/>
        <n v="220239.0"/>
        <n v="960336.0"/>
        <n v="632016.0"/>
        <n v="1332144.0"/>
        <n v="69700.0"/>
        <n v="452472.0"/>
        <n v="188800.0"/>
        <n v="442206.0"/>
        <n v="198396.0"/>
        <n v="1293190.0"/>
        <n v="1677312.0"/>
        <n v="353286.0"/>
        <n v="891575.0"/>
        <n v="906732.0"/>
        <n v="74120.0"/>
        <n v="427064.0"/>
        <n v="456645.0"/>
        <n v="665220.0"/>
        <n v="140160.0"/>
        <n v="488070.0"/>
        <n v="88120.0"/>
        <n v="615239.0"/>
        <n v="529450.0"/>
        <n v="177802.0"/>
        <n v="258192.0"/>
        <n v="258245.0"/>
        <n v="741582.0"/>
        <n v="735540.0"/>
        <n v="463400.0"/>
        <n v="150650.0"/>
        <n v="766586.0"/>
        <n v="267007.0"/>
        <n v="228767.0"/>
        <n v="1142352.0"/>
        <n v="68640.0"/>
        <n v="177776.0"/>
        <n v="86478.0"/>
        <n v="201360.0"/>
        <n v="155912.0"/>
        <n v="441612.0"/>
        <n v="249660.0"/>
        <n v="209664.0"/>
        <n v="97065.0"/>
        <n v="66684.0"/>
        <n v="208872.0"/>
        <n v="1713528.0"/>
        <n v="43696.0"/>
        <n v="471408.0"/>
        <n v="215544.0"/>
        <n v="169770.0"/>
        <n v="1057420.0"/>
        <n v="129569.0"/>
        <n v="281004.0"/>
        <n v="274142.0"/>
        <n v="257647.0"/>
        <n v="708460.0"/>
        <n v="62976.0"/>
        <n v="87417.0"/>
        <n v="573080.0"/>
        <n v="196900.0"/>
        <n v="154668.0"/>
        <n v="59191.0"/>
        <n v="329350.0"/>
        <n v="223288.0"/>
        <n v="313880.0"/>
        <n v="1320573.0"/>
        <n v="58632.0"/>
        <n v="480548.0"/>
        <n v="913734.0"/>
        <n v="244528.0"/>
        <n v="632124.0"/>
        <n v="661556.0"/>
        <n v="245538.0"/>
        <n v="752625.0"/>
        <n v="360753.0"/>
        <n v="91560.0"/>
        <n v="72600.0"/>
        <n v="701246.0"/>
        <n v="154008.0"/>
        <n v="132871.0"/>
        <n v="1724340.0"/>
        <n v="2359208.0"/>
        <n v="789036.0"/>
        <n v="494406.0"/>
        <n v="95346.0"/>
        <n v="55029.0"/>
        <n v="460890.0"/>
        <n v="573997.0"/>
        <n v="425178.0"/>
        <n v="420138.0"/>
        <n v="252465.0"/>
        <n v="90144.0"/>
        <n v="774554.0"/>
        <n v="165123.0"/>
        <n v="578550.0"/>
        <n v="400486.0"/>
        <n v="62504.0"/>
        <n v="288535.0"/>
        <n v="40418.0"/>
        <n v="101700.0"/>
        <n v="97370.0"/>
        <n v="1670656.0"/>
        <n v="750348.0"/>
        <n v="1038180.0"/>
        <n v="53471.0"/>
        <n v="325575.0"/>
        <n v="181762.0"/>
        <n v="309595.0"/>
        <n v="234648.0"/>
        <n v="543114.0"/>
        <n v="605488.0"/>
        <n v="970186.0"/>
        <n v="260337.0"/>
        <n v="231300.0"/>
        <n v="242957.0"/>
        <n v="956900.0"/>
        <n v="337876.0"/>
        <n v="300504.0"/>
        <n v="272673.0"/>
        <n v="972660.0"/>
        <n v="804346.0"/>
        <n v="748750.0"/>
        <n v="104811.0"/>
        <n v="837600.0"/>
        <n v="1739875.0"/>
        <n v="363832.0"/>
        <n v="841659.0"/>
        <n v="47835.0"/>
        <n v="374430.0"/>
        <n v="145325.0"/>
        <n v="423645.0"/>
        <n v="81220.0"/>
        <n v="263241.0"/>
        <n v="289692.0"/>
        <n v="392579.0"/>
        <n v="654876.0"/>
        <n v="269864.0"/>
        <n v="488600.0"/>
        <n v="530010.0"/>
        <n v="254529.0"/>
        <n v="598320.0"/>
        <n v="518940.0"/>
        <n v="567298.0"/>
        <n v="339273.0"/>
        <n v="125367.0"/>
        <n v="59930.0"/>
        <n v="260824.0"/>
        <n v="585921.0"/>
        <n v="193420.0"/>
        <n v="153560.0"/>
        <n v="708630.0"/>
        <n v="449520.0"/>
        <n v="685691.0"/>
        <n v="58986.0"/>
        <n v="156968.0"/>
        <n v="545896.0"/>
        <n v="764208.0"/>
        <n v="945996.0"/>
        <n v="174455.0"/>
        <n v="1993572.0"/>
        <n v="770892.0"/>
        <n v="313768.0"/>
        <n v="235847.0"/>
        <n v="238665.0"/>
        <n v="1013672.0"/>
        <n v="561500.0"/>
        <n v="476350.0"/>
        <n v="1511466.0"/>
        <n v="2223744.0"/>
        <n v="157120.0"/>
        <n v="420580.0"/>
        <n v="320301.0"/>
        <n v="170970.0"/>
        <n v="239989.0"/>
        <n v="468489.0"/>
        <n v="1942594.0"/>
        <n v="177879.0"/>
        <n v="373198.0"/>
        <n v="204651.0"/>
        <n v="192860.0"/>
        <n v="457576.0"/>
        <n v="338094.0"/>
        <n v="133620.0"/>
        <n v="161216.0"/>
        <n v="123984.0"/>
        <n v="448824.0"/>
        <n v="128240.0"/>
        <n v="304200.0"/>
        <n v="200280.0"/>
        <n v="509152.0"/>
        <n v="412272.0"/>
        <n v="269925.0"/>
        <n v="706180.0"/>
        <n v="1137450.0"/>
        <n v="25140.0"/>
        <n v="2597724.0"/>
        <n v="46688.0"/>
        <n v="309400.0"/>
        <n v="470294.0"/>
        <n v="748200.0"/>
        <n v="220480.0"/>
        <n v="496275.0"/>
        <n v="366896.0"/>
        <n v="261016.0"/>
        <n v="157200.0"/>
        <n v="347640.0"/>
        <n v="319640.0"/>
        <n v="168915.0"/>
        <n v="303000.0"/>
        <n v="1133325.0"/>
        <n v="887344.0"/>
        <n v="43686.0"/>
        <n v="116056.0"/>
        <n v="321625.0"/>
        <n v="725296.0"/>
        <n v="702378.0"/>
        <n v="113240.0"/>
        <n v="31610.0"/>
        <n v="432300.0"/>
        <n v="702009.0"/>
        <n v="172718.0"/>
        <n v="1256934.0"/>
        <n v="259402.0"/>
        <n v="268318.0"/>
        <n v="483840.0"/>
        <n v="313848.0"/>
        <n v="1036620.0"/>
        <n v="93335.0"/>
        <n v="215140.0"/>
        <n v="542844.0"/>
        <n v="416850.0"/>
        <n v="410438.0"/>
        <n v="1301700.0"/>
        <n v="264630.0"/>
        <n v="539968.0"/>
        <n v="1198367.0"/>
        <n v="1131894.0"/>
        <n v="560763.0"/>
        <n v="387660.0"/>
        <n v="81928.0"/>
        <n v="455688.0"/>
        <n v="1246938.0"/>
        <n v="275384.0"/>
        <n v="228120.0"/>
        <n v="321040.0"/>
        <n v="52830.0"/>
        <n v="88632.0"/>
        <n v="615272.0"/>
        <n v="228718.0"/>
        <n v="227130.0"/>
        <n v="104430.0"/>
        <n v="375660.0"/>
        <n v="621940.0"/>
        <n v="718416.0"/>
        <n v="384142.0"/>
        <n v="279550.0"/>
        <n v="611344.0"/>
        <n v="168363.0"/>
        <n v="355284.0"/>
        <n v="453782.0"/>
        <n v="442178.0"/>
        <n v="81480.0"/>
        <n v="1299364.0"/>
        <n v="531230.0"/>
        <n v="421092.0"/>
        <n v="350740.0"/>
        <n v="51311.0"/>
        <n v="574126.0"/>
        <n v="600362.0"/>
        <n v="287960.0"/>
        <n v="143200.0"/>
        <n v="173535.0"/>
        <n v="1487400.0"/>
        <n v="1885660.0"/>
        <n v="492652.0"/>
        <n v="398892.0"/>
        <n v="1266721.0"/>
        <n v="222152.0"/>
        <n v="624312.0"/>
        <n v="153108.0"/>
        <n v="142400.0"/>
        <n v="488433.0"/>
        <n v="234458.0"/>
        <n v="542920.0"/>
        <n v="139945.0"/>
        <n v="173024.0"/>
        <n v="184481.0"/>
        <n v="173943.0"/>
        <n v="393072.0"/>
        <n v="425595.0"/>
        <n v="22980.0"/>
        <n v="117106.0"/>
        <n v="1020668.0"/>
        <n v="524160.0"/>
        <n v="365898.0"/>
        <n v="624118.0"/>
        <n v="1167582.0"/>
        <n v="1008425.0"/>
        <n v="137916.0"/>
        <n v="225120.0"/>
        <n v="136854.0"/>
        <n v="77706.0"/>
        <n v="875679.0"/>
        <n v="437872.0"/>
        <n v="188233.0"/>
        <n v="264996.0"/>
        <n v="202538.0"/>
        <n v="357850.0"/>
        <n v="261196.0"/>
        <n v="255090.0"/>
        <n v="41010.0"/>
        <n v="149900.0"/>
        <n v="650568.0"/>
        <n v="611415.0"/>
        <n v="90584.0"/>
        <n v="480654.0"/>
        <n v="625194.0"/>
        <n v="246240.0"/>
        <n v="841008.0"/>
        <n v="1624402.0"/>
        <n v="542646.0"/>
        <n v="390760.0"/>
        <n v="668192.0"/>
        <n v="522782.0"/>
        <n v="166464.0"/>
        <n v="1068714.0"/>
        <n v="1431444.0"/>
        <n v="191370.0"/>
        <n v="286461.0"/>
        <n v="102969.0"/>
        <n v="73326.0"/>
        <n v="104304.0"/>
        <n v="645015.0"/>
        <n v="182660.0"/>
        <n v="165220.0"/>
        <n v="161500.0"/>
        <n v="862505.0"/>
        <n v="295324.0"/>
        <n v="179550.0"/>
        <n v="273096.0"/>
        <n v="1402674.0"/>
        <n v="147744.0"/>
        <n v="143125.0"/>
        <n v="113968.0"/>
        <n v="594465.0"/>
        <n v="873150.0"/>
        <n v="445176.0"/>
        <n v="427500.0"/>
        <n v="22671.0"/>
        <n v="524610.0"/>
        <n v="177180.0"/>
        <n v="597753.0"/>
        <n v="693719.0"/>
        <n v="334404.0"/>
        <n v="156636.0"/>
        <n v="359784.0"/>
        <n v="302358.0"/>
        <n v="179016.0"/>
        <n v="534411.0"/>
        <n v="206544.0"/>
        <n v="1595925.0"/>
        <n v="68050.0"/>
        <n v="555579.0"/>
        <n v="883995.0"/>
        <n v="286092.0"/>
        <n v="982881.0"/>
        <n v="114049.0"/>
        <n v="687999.0"/>
        <n v="285747.0"/>
        <n v="260385.0"/>
        <n v="224642.0"/>
        <n v="135388.0"/>
        <n v="530381.0"/>
        <n v="1380807.0"/>
        <n v="408161.0"/>
        <n v="175320.0"/>
        <n v="935160.0"/>
        <n v="1562674.0"/>
        <n v="924198.0"/>
        <n v="589222.0"/>
        <n v="114699.0"/>
        <n v="627375.0"/>
        <n v="269840.0"/>
        <n v="80478.0"/>
        <n v="712080.0"/>
        <n v="583440.0"/>
        <n v="797964.0"/>
        <n v="348560.0"/>
        <n v="99022.0"/>
        <n v="290581.0"/>
        <n v="912366.0"/>
        <n v="106400.0"/>
        <n v="648492.0"/>
        <n v="291672.0"/>
        <n v="431536.0"/>
        <n v="175672.0"/>
        <n v="274904.0"/>
        <n v="75504.0"/>
        <n v="202552.0"/>
        <n v="720360.0"/>
        <n v="867300.0"/>
        <n v="473265.0"/>
        <n v="1708575.0"/>
        <n v="1281834.0"/>
        <n v="518673.0"/>
        <n v="280296.0"/>
        <n v="275239.0"/>
        <n v="486024.0"/>
        <n v="556647.0"/>
        <n v="151704.0"/>
        <n v="1212635.0"/>
        <n v="40672.0"/>
        <n v="359025.0"/>
        <n v="324300.0"/>
        <n v="1602354.0"/>
        <n v="165288.0"/>
        <n v="332228.0"/>
        <n v="216369.0"/>
        <n v="371160.0"/>
        <n v="659120.0"/>
        <n v="975930.0"/>
        <n v="251727.0"/>
        <n v="182080.0"/>
        <n v="781422.0"/>
        <n v="38740.0"/>
        <n v="117400.0"/>
        <n v="498484.0"/>
        <n v="902804.0"/>
        <n v="248634.0"/>
        <n v="452180.0"/>
        <n v="65362.0"/>
        <n v="201033.0"/>
        <n v="360243.0"/>
        <n v="109848.0"/>
        <n v="479920.0"/>
        <n v="585036.0"/>
        <n v="68530.0"/>
        <n v="636390.0"/>
        <n v="666105.0"/>
        <n v="77129.0"/>
        <n v="71258.0"/>
        <n v="189940.0"/>
        <n v="160920.0"/>
        <n v="404250.0"/>
        <n v="874017.0"/>
        <n v="579404.0"/>
        <n v="548688.0"/>
        <n v="485628.0"/>
        <n v="635952.0"/>
        <n v="1380696.0"/>
        <n v="265167.0"/>
        <n v="148008.0"/>
        <n v="380842.0"/>
        <n v="1614800.0"/>
        <n v="170709.0"/>
        <n v="236420.0"/>
        <n v="561141.0"/>
        <n v="504800.0"/>
        <n v="883410.0"/>
        <n v="242012.0"/>
        <n v="350000.0"/>
        <n v="350200.0"/>
        <n v="172851.0"/>
        <n v="402795.0"/>
        <n v="420675.0"/>
        <n v="452872.0"/>
        <n v="460668.0"/>
        <n v="763378.0"/>
        <n v="501200.0"/>
        <n v="1096287.0"/>
        <n v="830540.0"/>
        <n v="687813.0"/>
        <n v="139232.0"/>
        <n v="503640.0"/>
        <n v="211520.0"/>
        <n v="1204212.0"/>
        <n v="69264.0"/>
        <n v="379488.0"/>
        <n v="148600.0"/>
        <n v="1146501.0"/>
        <n v="74313.0"/>
        <n v="313592.0"/>
        <n v="213070.0"/>
        <n v="401882.0"/>
        <n v="1261596.0"/>
        <n v="524583.0"/>
        <n v="745016.0"/>
        <n v="199260.0"/>
        <n v="512544.0"/>
        <n v="271466.0"/>
        <n v="57519.0"/>
        <n v="119560.0"/>
        <n v="307312.0"/>
        <n v="90342.0"/>
        <n v="38376.0"/>
        <n v="329681.0"/>
        <n v="571557.0"/>
        <n v="782493.0"/>
        <n v="1496300.0"/>
        <n v="388720.0"/>
        <n v="56889.0"/>
        <n v="740071.0"/>
        <n v="98098.0"/>
        <n v="203544.0"/>
        <n v="203060.0"/>
        <n v="514248.0"/>
        <n v="297756.0"/>
        <n v="1740075.0"/>
        <n v="623295.0"/>
        <n v="354679.0"/>
        <n v="1987608.0"/>
        <n v="903700.0"/>
        <n v="654320.0"/>
        <n v="355586.0"/>
        <n v="122130.0"/>
        <n v="78944.0"/>
        <n v="677516.0"/>
        <n v="1427831.0"/>
        <n v="736380.0"/>
        <n v="601104.0"/>
        <n v="346710.0"/>
        <n v="97284.0"/>
        <n v="183617.0"/>
        <n v="1080948.0"/>
        <n v="58408.0"/>
        <n v="228648.0"/>
        <n v="635886.0"/>
        <n v="1031175.0"/>
        <n v="164358.0"/>
        <n v="235543.0"/>
        <n v="1437822.0"/>
        <n v="309008.0"/>
        <n v="906884.0"/>
        <n v="108038.0"/>
        <n v="848804.0"/>
        <n v="893026.0"/>
        <n v="108656.0"/>
        <n v="356652.0"/>
        <n v="1132516.0"/>
        <n v="150106.0"/>
        <n v="112860.0"/>
        <n v="892738.0"/>
        <n v="205200.0"/>
        <n v="90276.0"/>
        <n v="345780.0"/>
        <n v="332336.0"/>
        <n v="434560.0"/>
        <n v="224014.0"/>
        <n v="396260.0"/>
        <n v="69408.0"/>
        <n v="128440.0"/>
        <n v="114520.0"/>
        <n v="91776.0"/>
        <n v="353418.0"/>
        <n v="161024.0"/>
        <n v="109350.0"/>
        <n v="312201.0"/>
        <n v="109707.0"/>
        <n v="122400.0"/>
        <n v="109225.0"/>
        <n v="425796.0"/>
        <n v="1131348.0"/>
        <n v="299502.0"/>
        <n v="567169.0"/>
        <n v="616760.0"/>
        <n v="2957460.0"/>
        <n v="234920.0"/>
        <n v="691880.0"/>
        <n v="436848.0"/>
        <n v="96615.0"/>
        <n v="800920.0"/>
        <n v="626712.0"/>
        <n v="171924.0"/>
        <n v="868857.0"/>
        <n v="260175.0"/>
        <n v="146744.0"/>
        <n v="647114.0"/>
        <n v="357075.0"/>
        <n v="139345.0"/>
        <n v="767760.0"/>
        <n v="161187.0"/>
        <n v="227120.0"/>
        <n v="74580.0"/>
        <n v="187395.0"/>
        <n v="258203.0"/>
        <n v="325160.0"/>
        <n v="603746.0"/>
        <n v="453620.0"/>
        <n v="140315.0"/>
        <n v="506616.0"/>
        <n v="1958862.0"/>
        <n v="640575.0"/>
        <n v="622063.0"/>
        <n v="512496.0"/>
        <n v="1535975.0"/>
        <n v="261576.0"/>
        <n v="152119.0"/>
        <n v="164862.0"/>
        <n v="217084.0"/>
        <n v="74550.0"/>
        <n v="107635.0"/>
        <n v="108784.0"/>
        <n v="190274.0"/>
        <n v="425576.0"/>
        <n v="428970.0"/>
        <n v="95840.0"/>
        <n v="101214.0"/>
        <n v="325703.0"/>
        <n v="353600.0"/>
        <n v="120186.0"/>
        <n v="632681.0"/>
        <n v="481320.0"/>
        <n v="426936.0"/>
        <n v="138740.0"/>
        <n v="382256.0"/>
        <n v="346426.0"/>
        <n v="598010.0"/>
        <n v="2300700.0"/>
        <n v="80676.0"/>
        <n v="361236.0"/>
        <n v="2040220.0"/>
        <n v="429700.0"/>
        <n v="88880.0"/>
        <n v="734960.0"/>
        <n v="640740.0"/>
        <n v="1245132.0"/>
        <n v="485056.0"/>
        <n v="110520.0"/>
        <n v="199804.0"/>
        <n v="202960.0"/>
        <n v="471971.0"/>
        <n v="250140.0"/>
        <n v="701162.0"/>
        <n v="38210.0"/>
        <n v="90114.0"/>
        <n v="768326.0"/>
        <n v="613089.0"/>
        <n v="327500.0"/>
        <n v="327984.0"/>
        <n v="968600.0"/>
        <n v="275205.0"/>
        <n v="824280.0"/>
        <n v="1537140.0"/>
        <n v="94550.0"/>
        <n v="228200.0"/>
        <n v="815210.0"/>
        <n v="275331.0"/>
        <n v="174888.0"/>
        <n v="147951.0"/>
        <n v="238560.0"/>
        <n v="367370.0"/>
        <n v="571676.0"/>
        <n v="353223.0"/>
        <n v="161408.0"/>
        <n v="162891.0"/>
        <n v="221119.0"/>
        <n v="111570.0"/>
        <n v="93980.0"/>
        <n v="812552.0"/>
        <n v="308712.0"/>
        <n v="230680.0"/>
        <n v="121700.0"/>
        <n v="145628.0"/>
        <n v="626873.0"/>
        <n v="34375.0"/>
        <n v="871309.0"/>
        <n v="377200.0"/>
        <n v="864342.0"/>
        <n v="266354.0"/>
        <n v="294800.0"/>
        <n v="213704.0"/>
        <n v="208675.0"/>
        <n v="966825.0"/>
        <n v="669264.0"/>
        <n v="144516.0"/>
        <n v="632376.0"/>
        <n v="1709451.0"/>
        <n v="93360.0"/>
        <n v="787760.0"/>
        <n v="425940.0"/>
        <n v="72897.0"/>
        <n v="133490.0"/>
        <n v="411888.0"/>
        <n v="902988.0"/>
        <n v="779402.0"/>
        <n v="53946.0"/>
        <n v="817680.0"/>
        <n v="83160.0"/>
        <n v="225811.0"/>
        <n v="122436.0"/>
        <n v="506132.0"/>
        <n v="355793.0"/>
        <n v="318364.0"/>
        <n v="629760.0"/>
        <n v="753180.0"/>
        <n v="431850.0"/>
        <n v="2435916.0"/>
        <n v="81144.0"/>
        <n v="925871.0"/>
        <n v="1057536.0"/>
        <n v="272538.0"/>
        <n v="227260.0"/>
        <n v="84929.0"/>
        <n v="242308.0"/>
        <n v="962698.0"/>
        <n v="305746.0"/>
        <n v="547722.0"/>
        <n v="184600.0"/>
        <n v="1577252.0"/>
        <n v="283309.0"/>
        <n v="468512.0"/>
        <n v="995540.0"/>
        <n v="430896.0"/>
        <n v="138614.0"/>
        <n v="214453.0"/>
        <n v="501840.0"/>
        <n v="585536.0"/>
        <n v="105231.0"/>
        <n v="234270.0"/>
        <n v="355900.0"/>
        <n v="375175.0"/>
        <n v="260440.0"/>
        <n v="274626.0"/>
        <n v="753759.0"/>
        <n v="1755544.0"/>
        <n v="271245.0"/>
        <n v="216216.0"/>
        <n v="475920.0"/>
        <n v="557982.0"/>
        <n v="866256.0"/>
        <n v="118723.0"/>
        <n v="426525.0"/>
        <n v="462264.0"/>
        <n v="53394.0"/>
        <n v="749502.0"/>
        <n v="328404.0"/>
        <n v="64521.0"/>
        <n v="135184.0"/>
        <n v="88884.0"/>
        <n v="228162.0"/>
        <n v="362802.0"/>
        <n v="172854.0"/>
        <n v="1097072.0"/>
        <n v="81920.0"/>
        <n v="1293312.0"/>
        <n v="602939.0"/>
        <n v="1937954.0"/>
        <n v="355056.0"/>
        <n v="369600.0"/>
        <n v="168192.0"/>
        <n v="85912.0"/>
        <n v="707952.0"/>
        <n v="72325.0"/>
        <n v="196656.0"/>
        <n v="82642.0"/>
        <n v="94520.0"/>
        <n v="697760.0"/>
        <n v="583414.0"/>
        <n v="734475.0"/>
        <n v="618860.0"/>
        <n v="178524.0"/>
        <n v="187893.0"/>
        <n v="314192.0"/>
        <n v="583480.0"/>
        <n v="296457.0"/>
        <n v="715710.0"/>
        <n v="160512.0"/>
        <n v="666270.0"/>
        <n v="206052.0"/>
        <n v="185934.0"/>
        <n v="552366.0"/>
        <n v="487944.0"/>
        <n v="318636.0"/>
        <n v="304980.0"/>
        <n v="344176.0"/>
        <n v="575550.0"/>
        <n v="413610.0"/>
        <n v="86630.0"/>
        <n v="1296050.0"/>
        <n v="721776.0"/>
        <n v="384150.0"/>
        <n v="372900.0"/>
        <n v="213624.0"/>
        <n v="346944.0"/>
        <n v="88020.0"/>
        <n v="177456.0"/>
        <n v="157869.0"/>
        <n v="627860.0"/>
        <n v="421850.0"/>
        <n v="321175.0"/>
        <n v="378784.0"/>
        <n v="58040.0"/>
        <n v="507075.0"/>
        <n v="576550.0"/>
        <n v="784653.0"/>
        <n v="260559.0"/>
        <n v="245005.0"/>
        <n v="388912.0"/>
        <n v="144234.0"/>
        <n v="302070.0"/>
        <n v="856230.0"/>
        <n v="433280.0"/>
        <n v="100744.0"/>
        <n v="134160.0"/>
        <n v="549640.0"/>
        <n v="278775.0"/>
        <n v="123100.0"/>
        <n v="66472.0"/>
        <n v="306449.0"/>
        <n v="793705.0"/>
        <n v="74460.0"/>
        <n v="679586.0"/>
        <n v="604882.0"/>
        <n v="275544.0"/>
        <n v="201680.0"/>
        <n v="397530.0"/>
        <n v="791004.0"/>
        <n v="1170909.0"/>
        <n v="139502.0"/>
        <n v="271752.0"/>
        <n v="670880.0"/>
        <n v="251674.0"/>
        <n v="335286.0"/>
        <n v="373520.0"/>
        <n v="699029.0"/>
        <n v="802343.0"/>
        <n v="633976.0"/>
        <n v="587224.0"/>
        <n v="237742.0"/>
        <n v="568620.0"/>
        <n v="275327.0"/>
        <n v="231449.0"/>
        <n v="110184.0"/>
        <n v="363051.0"/>
        <n v="166320.0"/>
        <n v="841700.0"/>
        <n v="459452.0"/>
        <n v="1102400.0"/>
        <n v="148708.0"/>
        <n v="1197833.0"/>
        <n v="1298790.0"/>
        <n v="135147.0"/>
        <n v="798051.0"/>
        <n v="123438.0"/>
        <n v="360196.0"/>
        <n v="480625.0"/>
        <n v="692250.0"/>
        <n v="356383.0"/>
        <n v="420527.0"/>
        <n v="215740.0"/>
        <n v="115427.0"/>
        <n v="926490.0"/>
        <n v="210598.0"/>
        <n v="444560.0"/>
        <n v="39296.0"/>
        <n v="714348.0"/>
        <n v="132336.0"/>
        <n v="149056.0"/>
        <n v="503400.0"/>
        <n v="1209907.0"/>
        <n v="488892.0"/>
        <n v="193020.0"/>
        <n v="338238.0"/>
        <n v="215023.0"/>
        <n v="676599.0"/>
        <n v="239022.0"/>
        <n v="418990.0"/>
        <n v="209300.0"/>
        <n v="1199519.0"/>
        <n v="656694.0"/>
        <n v="994214.0"/>
        <n v="1065700.0"/>
        <n v="362848.0"/>
        <n v="208920.0"/>
        <n v="524725.0"/>
        <n v="473742.0"/>
        <n v="1105806.0"/>
        <n v="252280.0"/>
        <n v="725040.0"/>
        <n v="755800.0"/>
        <n v="119625.0"/>
        <n v="145830.0"/>
        <n v="612697.0"/>
        <n v="1479488.0"/>
        <n v="731310.0"/>
        <n v="303680.0"/>
        <n v="828268.0"/>
        <n v="98160.0"/>
        <n v="252512.0"/>
        <n v="204120.0"/>
        <n v="510894.0"/>
        <n v="1925484.0"/>
        <n v="219960.0"/>
        <n v="383216.0"/>
        <n v="117929.0"/>
        <n v="360000.0"/>
        <n v="410886.0"/>
        <n v="413621.0"/>
        <n v="144250.0"/>
        <n v="194511.0"/>
        <n v="585463.0"/>
        <n v="37785.0"/>
        <n v="166530.0"/>
        <n v="2064174.0"/>
        <n v="119032.0"/>
        <n v="219226.0"/>
        <n v="1001133.0"/>
        <n v="174658.0"/>
        <n v="221928.0"/>
        <n v="261625.0"/>
        <n v="604100.0"/>
        <n v="200928.0"/>
        <n v="1707748.0"/>
        <n v="271788.0"/>
        <n v="403564.0"/>
        <n v="1039080.0"/>
        <n v="439452.0"/>
        <n v="155484.0"/>
        <n v="60608.0"/>
        <n v="608337.0"/>
        <n v="340725.0"/>
        <n v="249907.0"/>
        <n v="1208190.0"/>
        <n v="275910.0"/>
        <n v="149570.0"/>
        <n v="181335.0"/>
        <n v="573669.0"/>
        <n v="841381.0"/>
        <n v="659204.0"/>
        <n v="211050.0"/>
        <n v="525304.0"/>
        <n v="83031.0"/>
        <n v="178230.0"/>
        <n v="265738.0"/>
        <n v="446112.0"/>
        <n v="355875.0"/>
        <n v="627969.0"/>
        <n v="259912.0"/>
        <n v="150400.0"/>
        <n v="1450380.0"/>
        <n v="129780.0"/>
        <n v="466102.0"/>
        <n v="193368.0"/>
        <n v="1064448.0"/>
        <n v="589860.0"/>
        <n v="341676.0"/>
        <n v="457947.0"/>
        <n v="475776.0"/>
        <n v="417924.0"/>
        <n v="164887.0"/>
        <n v="1396059.0"/>
        <n v="1053402.0"/>
        <n v="672192.0"/>
        <n v="144300.0"/>
        <n v="107415.0"/>
        <n v="158168.0"/>
        <n v="863379.0"/>
        <n v="937134.0"/>
        <n v="535248.0"/>
        <n v="68320.0"/>
        <n v="79156.0"/>
        <n v="962850.0"/>
        <n v="657258.0"/>
        <n v="579000.0"/>
        <n v="121248.0"/>
        <n v="642408.0"/>
        <n v="485720.0"/>
        <n v="468930.0"/>
        <n v="157272.0"/>
        <n v="221078.0"/>
        <n v="592144.0"/>
        <n v="335340.0"/>
        <n v="408100.0"/>
        <n v="964173.0"/>
        <n v="449819.0"/>
        <n v="1696688.0"/>
        <n v="265720.0"/>
        <n v="380920.0"/>
        <n v="158639.0"/>
        <n v="645337.0"/>
        <n v="335006.0"/>
        <n v="545013.0"/>
        <n v="1052720.0"/>
        <n v="1294848.0"/>
        <n v="280968.0"/>
        <n v="111420.0"/>
        <n v="148824.0"/>
        <n v="420835.0"/>
        <n v="264450.0"/>
        <n v="756672.0"/>
        <n v="297141.0"/>
        <n v="143934.0"/>
        <n v="501928.0"/>
        <n v="42096.0"/>
        <n v="1421364.0"/>
        <n v="173310.0"/>
        <n v="87058.0"/>
        <n v="253112.0"/>
        <n v="48034.0"/>
        <n v="275181.0"/>
        <n v="1383294.0"/>
        <n v="887023.0"/>
        <n v="231192.0"/>
        <n v="369642.0"/>
        <n v="523665.0"/>
        <n v="189962.0"/>
        <n v="143946.0"/>
        <n v="840617.0"/>
        <n v="572907.0"/>
        <n v="803286.0"/>
        <n v="92040.0"/>
        <n v="445656.0"/>
        <n v="113930.0"/>
        <n v="306328.0"/>
        <n v="91504.0"/>
        <n v="1368640.0"/>
        <n v="494858.0"/>
        <n v="291480.0"/>
        <n v="380880.0"/>
        <n v="256377.0"/>
        <n v="613425.0"/>
        <n v="422850.0"/>
        <n v="532240.0"/>
        <n v="403488.0"/>
        <n v="283222.0"/>
        <n v="831400.0"/>
        <n v="35760.0"/>
        <n v="1751256.0"/>
        <n v="227418.0"/>
        <n v="233544.0"/>
        <n v="180336.0"/>
        <n v="63090.0"/>
        <n v="1591485.0"/>
        <n v="1175616.0"/>
        <n v="1027809.0"/>
        <n v="500797.0"/>
        <n v="75581.0"/>
        <n v="106680.0"/>
        <n v="128304.0"/>
        <n v="663625.0"/>
        <n v="67762.0"/>
        <n v="1432772.0"/>
        <n v="842360.0"/>
        <n v="232674.0"/>
        <n v="320130.0"/>
        <n v="236040.0"/>
        <n v="635808.0"/>
        <n v="487080.0"/>
        <n v="460180.0"/>
        <n v="267260.0"/>
        <n v="545778.0"/>
        <n v="362786.0"/>
        <n v="1001190.0"/>
        <n v="161870.0"/>
        <n v="249648.0"/>
        <n v="257280.0"/>
        <n v="457023.0"/>
        <n v="640110.0"/>
        <n v="54689.0"/>
        <n v="442975.0"/>
        <n v="403420.0"/>
        <n v="758472.0"/>
        <n v="202720.0"/>
        <n v="130550.0"/>
        <n v="226200.0"/>
        <n v="840840.0"/>
        <n v="2375303.0"/>
        <n v="372175.0"/>
        <n v="171262.0"/>
        <n v="625301.0"/>
        <n v="110385.0"/>
        <n v="111945.0"/>
        <n v="1207905.0"/>
        <n v="211340.0"/>
        <n v="321024.0"/>
        <n v="286335.0"/>
        <n v="306432.0"/>
        <n v="26103.0"/>
        <n v="246870.0"/>
        <n v="285662.0"/>
        <n v="166644.0"/>
        <n v="80292.0"/>
        <n v="239910.0"/>
        <n v="155400.0"/>
        <n v="77217.0"/>
        <n v="381402.0"/>
        <n v="1969775.0"/>
        <n v="1913274.0"/>
        <n v="121104.0"/>
        <n v="319920.0"/>
        <n v="241470.0"/>
        <n v="402048.0"/>
        <n v="526785.0"/>
        <n v="545116.0"/>
        <n v="600495.0"/>
        <n v="372408.0"/>
        <n v="446040.0"/>
        <n v="382224.0"/>
        <n v="149496.0"/>
        <n v="1034229.0"/>
        <n v="646044.0"/>
        <n v="445393.0"/>
        <n v="87432.0"/>
        <n v="604846.0"/>
        <n v="463710.0"/>
        <n v="217925.0"/>
        <n v="714036.0"/>
        <n v="367604.0"/>
        <n v="271110.0"/>
        <n v="618773.0"/>
        <n v="126672.0"/>
        <n v="60350.0"/>
        <n v="306514.0"/>
        <n v="240810.0"/>
        <n v="416724.0"/>
        <n v="329592.0"/>
        <n v="1157250.0"/>
        <n v="225568.0"/>
      </sharedItems>
    </cacheField>
    <cacheField name="Date" numFmtId="0">
      <sharedItems>
        <s v="Valid"/>
      </sharedItems>
    </cacheField>
    <cacheField name="ROI" numFmtId="9">
      <sharedItems containsSemiMixedTypes="0" containsString="0" containsNumber="1">
        <n v="4.643146579283887"/>
        <n v="-0.6740754785779398"/>
        <n v="-0.8845674874933217"/>
        <n v="0.9058659317211949"/>
        <n v="0.9193837644125895"/>
        <n v="-0.33717917826430144"/>
        <n v="-0.5865378597506046"/>
        <n v="-0.9560613791550987"/>
        <n v="0.9911799534360951"/>
        <n v="-0.6698726114649681"/>
        <n v="-0.4191579607187631"/>
        <n v="-0.5731439208386402"/>
        <n v="0.08418258780459903"/>
        <n v="-0.5257345759552656"/>
        <n v="-0.4195285541260084"/>
        <n v="0.5560639282409054"/>
        <n v="-0.7153847986657137"/>
        <n v="1.287039047082041"/>
        <n v="1.0430994103248774"/>
        <n v="0.48195757575757575"/>
        <n v="-0.8438561268034953"/>
        <n v="-0.3603311640600399"/>
        <n v="-0.8382765883701708"/>
        <n v="0.18383205707179792"/>
        <n v="-0.8877129750982962"/>
        <n v="-0.796686916901714"/>
        <n v="1.1647851696269576"/>
        <n v="-0.6297656502532054"/>
        <n v="-0.6561359805206967"/>
        <n v="-0.5575687547746371"/>
        <n v="0.08138093289689034"/>
        <n v="-0.6282055552570784"/>
        <n v="-0.6620676336983476"/>
        <n v="0.08879173534710781"/>
        <n v="2.012515053265401"/>
        <n v="0.9554909871244636"/>
        <n v="-0.652777397520724"/>
        <n v="-0.8432361420877985"/>
        <n v="-0.5476647332392747"/>
        <n v="-0.3540159604361021"/>
        <n v="1.2748134642356241"/>
        <n v="0.5479479166666666"/>
        <n v="0.4181156160377888"/>
        <n v="1.3770588446036722"/>
        <n v="-0.43136001806582736"/>
        <n v="2.2184302889276712"/>
        <n v="1.396242722794447"/>
        <n v="-0.016110451306413365"/>
        <n v="2.179914096056228"/>
        <n v="1.740530931339225"/>
        <n v="-0.46243445595854926"/>
        <n v="-0.22349582784365396"/>
        <n v="-0.36871658161322257"/>
        <n v="-0.55176131058484"/>
        <n v="1.4742692897291776"/>
        <n v="-0.4710508585738135"/>
        <n v="0.41195654888250727"/>
        <n v="0.22876511128686017"/>
        <n v="2.0912139605462827"/>
        <n v="-0.26628568473314024"/>
        <n v="0.4819691426753618"/>
        <n v="1.3006581469648564"/>
        <n v="0.3604468802698146"/>
        <n v="-0.09185636727307359"/>
        <n v="1.4136797752808987"/>
        <n v="1.000428775607432"/>
        <n v="-0.10199788955328878"/>
        <n v="-0.8133401445302766"/>
        <n v="-0.12004800768122897"/>
        <n v="2.205810185185185"/>
        <n v="-0.529040184975781"/>
        <n v="1.2249389179755674"/>
        <n v="-0.3173160173160173"/>
        <n v="0.6920507538159003"/>
        <n v="1.4728625720240283"/>
        <n v="-0.30456991977251957"/>
        <n v="1.1066634569090033"/>
        <n v="2.8788798263500626"/>
        <n v="-0.6378227954577317"/>
        <n v="0.5375570884871552"/>
        <n v="-0.8327574047954865"/>
        <n v="4.469289272666888"/>
        <n v="0.2385988222859731"/>
        <n v="0.8188889595421667"/>
        <n v="-0.12359913793103446"/>
        <n v="-0.2578900375007441"/>
        <n v="-0.4410027981021568"/>
        <n v="0.06724929817294852"/>
        <n v="0.5814129205816992"/>
        <n v="0.36569269521410575"/>
        <n v="2.0712877939529672"/>
        <n v="-0.3846885596536074"/>
        <n v="0.814529625350718"/>
        <n v="2.2756598709017704"/>
        <n v="0.0011065390907738688"/>
        <n v="11.118734525447042"/>
        <n v="2.9951462994836486"/>
        <n v="0.5571818181818181"/>
        <n v="1.75897113022113"/>
        <n v="-0.6441837778838939"/>
        <n v="-0.5437416914966766"/>
        <n v="-0.6062816262432386"/>
        <n v="-0.41017136594599984"/>
        <n v="9.08702576112412"/>
        <n v="0.2621460037759597"/>
        <n v="-0.5836827195467422"/>
        <n v="7.341288439635536"/>
        <n v="-0.5733252646067682"/>
        <n v="1.241645554276017"/>
        <n v="1.9375521085797383"/>
        <n v="-0.2926326419638002"/>
        <n v="-0.7466488119763769"/>
        <n v="-0.5674131448338096"/>
        <n v="-0.31121029405339273"/>
        <n v="1.173823175138521"/>
        <n v="0.9071471107911787"/>
        <n v="-0.7526828510792484"/>
        <n v="-0.23459735289427522"/>
        <n v="-0.5683527357392316"/>
        <n v="-0.6987427901946648"/>
        <n v="0.5799865571864555"/>
        <n v="0.1824601704334938"/>
        <n v="1.7472544890268233"/>
        <n v="3.172355664488017"/>
        <n v="0.00979094685352699"/>
        <n v="-0.4452704332098872"/>
        <n v="-0.5169231720385788"/>
        <n v="-0.4149257425742574"/>
        <n v="0.4238107659473559"/>
        <n v="-0.6554219929542023"/>
        <n v="0.990181228022721"/>
        <n v="-0.3596014628267465"/>
        <n v="4.5428841743119275"/>
        <n v="0.3119648771470386"/>
        <n v="-0.6469032959072799"/>
        <n v="-0.8192111577684463"/>
        <n v="1.3071587537091989"/>
        <n v="-0.5608734986741538"/>
        <n v="-0.8234257766311942"/>
        <n v="0.6089085239085239"/>
        <n v="-0.05835761165359379"/>
        <n v="0.9720353784146889"/>
        <n v="-0.5706275789862658"/>
        <n v="-0.6614156626506025"/>
        <n v="0.10655859991392909"/>
        <n v="-0.685960731414868"/>
        <n v="-0.7128072706289672"/>
        <n v="-0.2541578979755092"/>
        <n v="1.102459956162536"/>
        <n v="3.316993000378358"/>
        <n v="4.209083740142696"/>
        <n v="-0.9622266669565407"/>
        <n v="-0.38840738630969335"/>
        <n v="1.080424234021905"/>
        <n v="5.274345386533666"/>
        <n v="0.36955479452054796"/>
        <n v="-0.03844338118022328"/>
        <n v="1.8062555858310627"/>
        <n v="12.167545787545787"/>
        <n v="0.3857618437900129"/>
        <n v="-0.22761862172848799"/>
        <n v="0.3577879116298458"/>
        <n v="0.4003213341920011"/>
        <n v="-0.03018842268842266"/>
        <n v="0.33638431802747737"/>
        <n v="0.6874404516040203"/>
        <n v="-0.7696183894230769"/>
        <n v="1.4940007207207209"/>
        <n v="-0.6491979352789359"/>
        <n v="-0.5291310583372"/>
        <n v="-0.4642348890589135"/>
        <n v="-0.5305344129554657"/>
        <n v="-0.4610459551842005"/>
        <n v="0.5670241229248374"/>
        <n v="0.7077855977152184"/>
        <n v="0.6315085558817212"/>
        <n v="-0.44231010752688166"/>
        <n v="-0.5997038970389704"/>
        <n v="0.6892634107285828"/>
        <n v="0.8283542503644187"/>
        <n v="0.29527312837742115"/>
        <n v="-0.06949949443882714"/>
        <n v="-0.5934679969085928"/>
        <n v="-0.7933300110741972"/>
        <n v="-0.8257482790855784"/>
        <n v="-0.1819636765483111"/>
        <n v="0.26440832351786414"/>
        <n v="-0.1516552901023891"/>
        <n v="-0.49486881857211"/>
        <n v="0.4098235294117647"/>
        <n v="0.31517560540204903"/>
        <n v="6.976610932475884"/>
        <n v="4.259300911854103"/>
        <n v="-0.03615148805722315"/>
        <n v="0.8255828519729974"/>
        <n v="-0.5583919488049007"/>
        <n v="-0.3338740416210296"/>
        <n v="-0.43946930199984435"/>
        <n v="-0.3395509781483298"/>
        <n v="0.8018841761827081"/>
        <n v="-0.4699819147944439"/>
        <n v="2.5397227097227097"/>
        <n v="4.2291376255168345"/>
        <n v="0.759099782504907"/>
        <n v="-0.5315664098781621"/>
        <n v="-0.4046605455990112"/>
        <n v="0.29522350230414757"/>
        <n v="0.5324443016281062"/>
        <n v="2.3054586409710924"/>
        <n v="1.8160740740740742"/>
        <n v="-0.8855414091470951"/>
        <n v="-0.13642488802808375"/>
        <n v="0.5276380628717077"/>
        <n v="0.22990474119182247"/>
        <n v="-0.5522085467471906"/>
        <n v="0.8553204476093591"/>
        <n v="-0.8736435291126365"/>
        <n v="3.1505838855277055"/>
        <n v="-0.3465282960199005"/>
        <n v="1.27699749601639"/>
        <n v="-0.24299506768810997"/>
        <n v="-0.090672531214529"/>
        <n v="0.040154202004626"/>
        <n v="-0.6961848663343906"/>
        <n v="-0.34884632276611033"/>
        <n v="0.8532172230285437"/>
        <n v="-0.7183882886675086"/>
        <n v="0.6484185100432239"/>
        <n v="-0.9388102413727566"/>
        <n v="0.17601617132867134"/>
        <n v="1.0702639526455666"/>
        <n v="0.41611236736823787"/>
        <n v="-0.8331172867720997"/>
        <n v="-0.7619113029827316"/>
        <n v="0.1657806158152555"/>
        <n v="-0.7223528898962602"/>
        <n v="-0.6434509144418751"/>
        <n v="1.2438356164383562"/>
        <n v="0.09325506851510534"/>
        <n v="0.2572466132349811"/>
        <n v="0.6746536212325686"/>
        <n v="0.09047424366312339"/>
        <n v="0.575022090041163"/>
        <n v="-0.5209294660514173"/>
        <n v="4.725959296162815"/>
        <n v="-0.29647414236391684"/>
        <n v="-0.24290681324300137"/>
        <n v="1.3070361527967256"/>
        <n v="-0.5437098906687008"/>
        <n v="-0.016389408332710045"/>
        <n v="-0.07736543909348437"/>
        <n v="-0.10398642917726879"/>
        <n v="-0.02433941655668326"/>
        <n v="0.37431578947368427"/>
        <n v="0.07653258426966286"/>
        <n v="0.9576437976437977"/>
        <n v="6.960807113543091"/>
        <n v="-0.565433619059117"/>
        <n v="-0.20158972906636463"/>
        <n v="1.226796523261631"/>
        <n v="-0.704445726034954"/>
        <n v="0.0908617931696393"/>
        <n v="-0.09201625190452009"/>
        <n v="-0.8515627249525555"/>
        <n v="1.6099400740025742"/>
        <n v="1.2888318458257644"/>
        <n v="-0.005845172513772066"/>
        <n v="1.2811949092623145"/>
        <n v="1.3979912211765158"/>
        <n v="0.10223710921640274"/>
        <n v="-0.1577048528241846"/>
        <n v="-0.5531844155844157"/>
        <n v="-0.8455089820359281"/>
        <n v="0.21976580447545302"/>
        <n v="0.9909119746233148"/>
        <n v="0.16997303370786512"/>
        <n v="1.1133851414361207"/>
        <n v="-0.2218968599278222"/>
        <n v="0.1438678621991506"/>
        <n v="-0.5909347442680776"/>
        <n v="0.6794309206967434"/>
        <n v="-0.43215095405220055"/>
        <n v="2.1729032967032964"/>
        <n v="0.6618434776757176"/>
        <n v="0.1238183044749269"/>
        <n v="-0.4786180679785331"/>
        <n v="-0.7027986884656845"/>
        <n v="2.207278782112274"/>
        <n v="-0.8366792682103558"/>
        <n v="1.291233681462141"/>
        <n v="0.8533590220568694"/>
        <n v="-0.8900647192583523"/>
        <n v="1.0910685854255973"/>
        <n v="0.47596280840135746"/>
        <n v="-0.19064665127020783"/>
        <n v="2.8196331236897274"/>
        <n v="0.14588691409653248"/>
        <n v="-0.27080267360700344"/>
        <n v="-0.19404271375745227"/>
        <n v="3.237581370732998"/>
        <n v="6.416199735763406"/>
        <n v="-0.22555098934550993"/>
        <n v="-0.3425526315789474"/>
        <n v="-0.22747990884011035"/>
        <n v="0.33913707842943325"/>
        <n v="-0.5382908163265306"/>
        <n v="3.408035714285714"/>
        <n v="0.36303857739772605"/>
        <n v="0.10352582744772197"/>
        <n v="6.008248182655882"/>
        <n v="2.9341404654961205"/>
        <n v="-0.05495709237758702"/>
        <n v="0.09840133354500713"/>
        <n v="-0.1580248293716169"/>
        <n v="0.7668609682423054"/>
        <n v="0.7723535156250001"/>
        <n v="1.4393384074941453"/>
        <n v="0.23683808639891996"/>
        <n v="-0.14899694823515858"/>
        <n v="0.9757839262187087"/>
        <n v="-0.7652784241082522"/>
        <n v="0.04234982643995998"/>
        <n v="0.5630759374733066"/>
        <n v="-0.5104895104895105"/>
        <n v="14.121941630571468"/>
        <n v="0.8354914119519291"/>
        <n v="-0.5017333653326933"/>
        <n v="3.1644008264462813"/>
        <n v="-0.8657206513813498"/>
        <n v="0.7933866157700107"/>
        <n v="1.0214788732394366"/>
        <n v="-0.7791076723122538"/>
        <n v="0.7676849183477424"/>
        <n v="-0.8047405636553419"/>
        <n v="-0.33736483780536647"/>
        <n v="0.40621196924105635"/>
        <n v="-0.8890746296939646"/>
        <n v="-0.6144129688670534"/>
        <n v="0.11296631473102065"/>
        <n v="-0.5652279957582185"/>
        <n v="4.370106761565836"/>
        <n v="-0.3358835182250396"/>
        <n v="-0.3586683324759315"/>
        <n v="2.051021923620934"/>
        <n v="3.423991075855231"/>
        <n v="-0.01451801492992083"/>
        <n v="-0.27994702320887993"/>
        <n v="-0.4813498723093762"/>
        <n v="-0.49391119221411195"/>
        <n v="-0.8576775544936833"/>
        <n v="-0.5890171644685802"/>
        <n v="1.1958053242569744"/>
        <n v="-0.04596851398787359"/>
        <n v="1.1542467138523764"/>
        <n v="0.5843183990106244"/>
        <n v="-0.1919295403927921"/>
        <n v="-0.5027807400226207"/>
        <n v="1.9597198298225589"/>
        <n v="-0.642344189235516"/>
        <n v="2.6325496974935176"/>
        <n v="0.6698768627999719"/>
        <n v="-0.6330084745762712"/>
        <n v="2.846649563878912"/>
        <n v="-0.17034967055831693"/>
        <n v="-0.1609969481180061"/>
        <n v="-0.15911870889682495"/>
        <n v="-0.2087848383500557"/>
        <n v="0.8343331284572834"/>
        <n v="-0.7577417883211678"/>
        <n v="0.4591105509542672"/>
        <n v="-0.2521896617740906"/>
        <n v="0.12078712679333083"/>
        <n v="-0.44057739261087703"/>
        <n v="-0.8066842737094838"/>
        <n v="-0.4042744237102085"/>
        <n v="-0.10899571986849456"/>
        <n v="-0.8394851729818781"/>
        <n v="0.196525746496039"/>
        <n v="-0.63403128652342"/>
        <n v="-0.590776010730025"/>
        <n v="2.2397461024498884"/>
        <n v="-0.2849211944548012"/>
        <n v="-0.219828966183216"/>
        <n v="1.4227173406995872"/>
        <n v="-0.4419725282387394"/>
        <n v="2.2873662551440326"/>
        <n v="-0.35731519767863623"/>
        <n v="-0.7822895232574989"/>
        <n v="-0.09950675922542927"/>
        <n v="-0.7546027397260274"/>
        <n v="1.520329309705219"/>
        <n v="0.5847067687545817"/>
        <n v="0.17018186645426783"/>
        <n v="0.27415674328440864"/>
        <n v="-0.2782206949217259"/>
        <n v="-0.3330958282790992"/>
        <n v="16.861513680494266"/>
        <n v="-0.567989441267048"/>
        <n v="-0.7085741851587735"/>
        <n v="-0.6036730189095726"/>
        <n v="-0.6182070154499039"/>
        <n v="0.35539364518976174"/>
        <n v="4.863341434731478"/>
        <n v="0.31768528129541207"/>
        <n v="0.06105368314172477"/>
        <n v="0.6435657457514479"/>
        <n v="-0.8256215283395352"/>
        <n v="-0.6398498373965995"/>
        <n v="-0.1607077602481122"/>
        <n v="-0.0266864728192162"/>
        <n v="-0.12917649753751004"/>
        <n v="1.0746840711312904"/>
        <n v="-0.832410394265233"/>
        <n v="-0.08468066373179814"/>
        <n v="-0.6568486562942009"/>
        <n v="-0.31233492083923287"/>
        <n v="-0.3729509632224168"/>
        <n v="0.6691500496255526"/>
        <n v="-0.04788021071919379"/>
        <n v="1.0877121200971374"/>
        <n v="-0.060623641304347775"/>
        <n v="1.3136788556462173"/>
        <n v="-0.6212370649106302"/>
        <n v="-0.7440733127783488"/>
        <n v="-0.9149386786114222"/>
        <n v="-0.6473085892919168"/>
        <n v="-0.7179080045834015"/>
        <n v="-0.7536129660545354"/>
        <n v="-0.2701189601483503"/>
        <n v="0.20193475815523057"/>
        <n v="-0.9443204939535479"/>
        <n v="1.0499277024678484"/>
        <n v="-0.8635932413579289"/>
        <n v="1.4466119590215347"/>
        <n v="-0.2483162451583504"/>
        <n v="10.082986793091772"/>
        <n v="4.936070465576128"/>
        <n v="-0.0345243267293046"/>
        <n v="-0.40882190095355275"/>
        <n v="-0.6201161269218187"/>
        <n v="0.17887846350381045"/>
        <n v="10.906664844177147"/>
        <n v="-0.36833819241982513"/>
        <n v="0.4788621803356807"/>
        <n v="0.23178185745140384"/>
        <n v="5.780732696897375"/>
        <n v="21.798087535680306"/>
        <n v="2.521480298189563"/>
        <n v="-0.06552423955526424"/>
        <n v="-0.37833219470538004"/>
        <n v="-0.44564348691695105"/>
        <n v="-0.6723825207116665"/>
        <n v="-0.16960242996962538"/>
        <n v="0.6650684801398096"/>
        <n v="-0.47950689240447775"/>
        <n v="0.0704684095860567"/>
        <n v="-0.3627032237335333"/>
        <n v="0.9919794746912506"/>
        <n v="0.9640623649902157"/>
        <n v="0.5703264829518917"/>
        <n v="-0.5134352562515475"/>
        <n v="-0.023492302723651562"/>
        <n v="0.5021374909951631"/>
        <n v="-0.1862025956514411"/>
        <n v="-0.84506862768775"/>
        <n v="-0.17296959698326653"/>
        <n v="-0.3345548258375592"/>
        <n v="-0.6208187228566833"/>
        <n v="7.650532187041309"/>
        <n v="0.8732110473338324"/>
        <n v="8.771363240056465"/>
        <n v="0.13616844376745374"/>
        <n v="-0.7567133689315633"/>
        <n v="-0.7251707475723644"/>
        <n v="0.28473691090920966"/>
        <n v="-0.08955186705455705"/>
        <n v="-0.5078012924071083"/>
        <n v="0.2656440765649249"/>
        <n v="0.38193046244744927"/>
        <n v="1.019836869447007"/>
        <n v="0.22216668918006208"/>
        <n v="5.142380507841672"/>
        <n v="-0.43852365452356534"/>
        <n v="-0.9641489119548392"/>
        <n v="1.9451855292356917"/>
        <n v="0.5094940202391904"/>
        <n v="0.04339509109071009"/>
        <n v="2.1894345238095236"/>
        <n v="-0.5787061678146525"/>
        <n v="0.932810353699188"/>
        <n v="2.6080254634800086"/>
        <n v="-0.21383762765648387"/>
        <n v="-0.46488372093023256"/>
        <n v="-0.01472763869669137"/>
        <n v="1.561159124087591"/>
        <n v="-0.7174212700051626"/>
        <n v="3.1770085327087165"/>
        <n v="4.113057829589364"/>
        <n v="2.0100496806245562"/>
        <n v="4.886021998166819"/>
        <n v="0.48571117861026736"/>
        <n v="-0.6861252381346807"/>
        <n v="-0.545769355755951"/>
        <n v="-0.1824933616569304"/>
        <n v="-0.6223894268516096"/>
        <n v="-0.7311780821917808"/>
        <n v="-0.37977599465061845"/>
        <n v="-0.3634509803921569"/>
        <n v="0.5681324172392255"/>
        <n v="1.2008319393331104"/>
        <n v="0.11780745383934055"/>
        <n v="0.8090898528272655"/>
        <n v="0.2164613150798589"/>
        <n v="-0.6733069639218506"/>
        <n v="-0.6625481921933442"/>
        <n v="-0.3482240013627459"/>
        <n v="-0.8500602353813363"/>
        <n v="1.3417097760964396"/>
        <n v="-0.08619968771686322"/>
        <n v="-0.7074601388107298"/>
        <n v="26.135436893203885"/>
        <n v="1.2406081002669143"/>
        <n v="-0.7073578164596402"/>
        <n v="-0.38586209150326795"/>
        <n v="0.9455620358957401"/>
        <n v="-0.04882017195289353"/>
        <n v="-0.3287545470292742"/>
        <n v="2.336045309037183"/>
        <n v="-0.6863890730672324"/>
        <n v="0.10941520467836259"/>
        <n v="3.5129772873366187"/>
        <n v="-0.21121054734318823"/>
        <n v="-0.2022478446471917"/>
        <n v="-0.19033311772315661"/>
        <n v="1.7928094945774502"/>
        <n v="-0.43382245345906834"/>
        <n v="-0.5799678153939577"/>
        <n v="1.609594908965066"/>
        <n v="0.6089427467509658"/>
        <n v="-0.09799158699808794"/>
        <n v="0.7076134022785555"/>
        <n v="3.5433590420133956"/>
        <n v="1.6397865832464373"/>
        <n v="-0.5663828759958155"/>
        <n v="-0.7183944782987192"/>
        <n v="0.3737932615173045"/>
        <n v="1.5193315665488811"/>
        <n v="3.3642902055622734"/>
        <n v="1.1452426035502958"/>
        <n v="-0.17865219550258915"/>
        <n v="-0.29226896931839064"/>
        <n v="-0.82047828663337"/>
        <n v="2.022127392532162"/>
        <n v="0.2539240863552984"/>
        <n v="41.24025641025641"/>
        <n v="1.0382123534715961"/>
        <n v="7.361558232931727"/>
        <n v="0.005091614572106034"/>
        <n v="-0.8871616907766493"/>
        <n v="4.255142480211083"/>
        <n v="-0.468687162442875"/>
        <n v="0.5314913580246914"/>
        <n v="-0.8904969205462683"/>
        <n v="-0.573495241220873"/>
        <n v="8.000674707877874"/>
        <n v="-0.5616042760690173"/>
        <n v="-0.8340289587184228"/>
        <n v="0.9001866729678639"/>
        <n v="-0.7942865054458187"/>
        <n v="-0.6319272134709396"/>
        <n v="3.8050904099374674"/>
        <n v="4.186685583192466"/>
        <n v="-0.2580758443379689"/>
        <n v="6.752285714285714"/>
        <n v="7.674114052953156"/>
        <n v="-0.24327024511324846"/>
        <n v="-0.6314963585183861"/>
        <n v="-0.6540830496936691"/>
        <n v="1.1334330915320965"/>
        <n v="1.6555804524114381"/>
        <n v="4.576825232678387"/>
        <n v="-0.08136209150326792"/>
        <n v="-0.24012265176214875"/>
        <n v="2.6063922155688624"/>
        <n v="-0.19263107336063498"/>
        <n v="-0.6779636452959961"/>
        <n v="-0.5026506147540983"/>
        <n v="-0.26480138169257345"/>
        <n v="-0.49723884687054704"/>
        <n v="-0.21516450325410805"/>
        <n v="3.8803599848427437"/>
        <n v="-0.41547142857142855"/>
        <n v="0.6859536629946156"/>
        <n v="1.3307140085370586"/>
        <n v="1.6656149371559157"/>
        <n v="0.1984109152186125"/>
        <n v="-0.6303139955643748"/>
        <n v="3.000084489642849"/>
        <n v="-0.5155338888411648"/>
        <n v="-0.23065396799774013"/>
        <n v="1.1197498723838695"/>
        <n v="0.8270301841746248"/>
        <n v="0.15539872971065635"/>
        <n v="-0.14229651162790694"/>
        <n v="0.7428977146660749"/>
        <n v="0.22204956463496325"/>
        <n v="-0.7066829354345525"/>
        <n v="-0.49460385925085126"/>
        <n v="1.3265186683467072"/>
        <n v="-0.5200823067999779"/>
        <n v="-0.3889287873292226"/>
        <n v="4.3588776305533905"/>
        <n v="-0.721381129733085"/>
        <n v="1.740791450028885"/>
        <n v="-0.22963006876926723"/>
        <n v="-0.5220577278894782"/>
        <n v="-0.13554572912891139"/>
        <n v="-0.4159438117328191"/>
        <n v="1.246436170212766"/>
        <n v="1.3365299714557561"/>
        <n v="1.2876664911818898"/>
        <n v="-0.9378098055790364"/>
        <n v="-0.7029720435327912"/>
        <n v="7.85667487133587"/>
        <n v="1.430093836775079"/>
        <n v="-0.3113690758038828"/>
        <n v="-0.08804413673734306"/>
        <n v="1.3014743219849971"/>
        <n v="-0.6933709074140493"/>
        <n v="0.03900879846026945"/>
        <n v="0.45438234692834506"/>
        <n v="0.9230185731027379"/>
        <n v="-0.34371337890625"/>
        <n v="55.1001158003088"/>
        <n v="-0.0386943648519579"/>
        <n v="0.6106881188118811"/>
        <n v="3.268385583280017"/>
        <n v="0.01069871396895786"/>
        <n v="1.0484915897992404"/>
        <n v="2.157435669920142"/>
        <n v="0.921913680781759"/>
        <n v="0.09875357267340543"/>
        <n v="0.8888273453093812"/>
        <n v="2.1785134544298264"/>
        <n v="-0.2670884201077199"/>
        <n v="11.562413319324335"/>
        <n v="0.3471858584174102"/>
        <n v="0.5423681932716535"/>
        <n v="-0.6574388020833334"/>
        <n v="-0.7245055248618785"/>
        <n v="-0.872909768464781"/>
        <n v="1.8560248296007789"/>
        <n v="-0.7767774248717322"/>
        <n v="-0.6734587151978457"/>
        <n v="0.6806017723432026"/>
        <n v="-0.8739251033554466"/>
        <n v="-0.7028603966973522"/>
        <n v="0.159169014084507"/>
        <n v="-0.06669537665119593"/>
        <n v="0.3086272944932163"/>
        <n v="-0.37639582226942825"/>
        <n v="-0.5684402877697842"/>
        <n v="2.0875277161862527"/>
        <n v="-0.40487662013958126"/>
        <n v="8.154491548905513"/>
        <n v="6.121346890491212"/>
        <n v="2.885540691192865"/>
        <n v="0.7371685116851169"/>
        <n v="-0.8734152765583845"/>
        <n v="-0.28500000000000003"/>
        <n v="-0.6894651622362465"/>
        <n v="0.38656601874567537"/>
        <n v="0.6968236244250148"/>
        <n v="1.3752740026304253"/>
        <n v="-0.952551724137931"/>
        <n v="1.7083501122618963"/>
        <n v="-0.4087663755458515"/>
        <n v="-0.3087502208759308"/>
        <n v="-0.9390352857312582"/>
        <n v="1.343533834586466"/>
        <n v="-0.5898512790005949"/>
        <n v="0.40776139549371815"/>
        <n v="-0.40827250000000004"/>
        <n v="0.83103027485618"/>
        <n v="-0.6270150187734669"/>
        <n v="-0.24762778505897778"/>
        <n v="-0.4069228836975634"/>
        <n v="0.6361931818181817"/>
        <n v="-0.3280068645460698"/>
        <n v="-0.6474636045153757"/>
        <n v="0.002078749276201458"/>
        <n v="-0.17198594576320303"/>
        <n v="-0.3941260241904019"/>
        <n v="-0.3463499254501663"/>
        <n v="-0.7117380952380953"/>
        <n v="1.5538894867196174"/>
        <n v="0.5916114052953156"/>
        <n v="-0.4184107184107185"/>
        <n v="-0.4663372965953821"/>
        <n v="0.36792404366571874"/>
        <n v="0.23572877370045558"/>
        <n v="5.886491790590967"/>
        <n v="-0.2837054294975689"/>
        <n v="-0.3817351891923505"/>
        <n v="1.1899657752067119"/>
        <n v="-0.5818121546961326"/>
        <n v="-0.13882380876998573"/>
        <n v="-0.5025507068223725"/>
        <n v="-0.16867482410523094"/>
        <n v="0.290005240998585"/>
        <n v="0.5903073153958565"/>
        <n v="-0.7144585795249005"/>
        <n v="-0.5035702827351113"/>
        <n v="1.2391671522089318"/>
        <n v="2.7987041102884858"/>
        <n v="-0.6582375738188977"/>
        <n v="0.9097754670864576"/>
        <n v="-0.3256172542261196"/>
        <n v="4.523635781383433"/>
        <n v="8.89456969130028"/>
        <n v="-0.7089948290533022"/>
        <n v="-0.5098900301440215"/>
        <n v="0.9344630872483223"/>
        <n v="1.0185558859305313"/>
        <n v="-0.38699808795411095"/>
        <n v="-0.28086867770469487"/>
        <n v="-0.5702405936141508"/>
        <n v="0.6697404202719406"/>
        <n v="0.10613264498938343"/>
        <n v="-0.13294498054867887"/>
        <n v="3.082536194415719"/>
        <n v="2.2019312977099235"/>
        <n v="-0.6380748061045785"/>
        <n v="2.0335397044494963"/>
        <n v="-0.8390400547237212"/>
        <n v="2.7829929767693136"/>
        <n v="0.7930837751855778"/>
        <n v="-0.490783359353476"/>
        <n v="-0.8086256924294382"/>
        <n v="-0.8254503240291882"/>
        <n v="1.0249502833315514"/>
        <n v="4.136657894736842"/>
        <n v="4.081135135135135"/>
        <n v="0.7351203079884504"/>
        <n v="-0.038238905944739006"/>
        <n v="-0.07204095112285334"/>
        <n v="-0.696197536020046"/>
        <n v="-0.5100069035532995"/>
        <n v="-0.26695686274509806"/>
        <n v="0.9494451143880926"/>
        <n v="-0.34096541440184713"/>
        <n v="-0.8479093906459886"/>
        <n v="-0.7867745664739885"/>
        <n v="-0.11775881136702403"/>
        <n v="0.14811564931178936"/>
        <n v="-0.7745921131848285"/>
        <n v="-0.7511050032609708"/>
        <n v="-0.6355795314426633"/>
        <n v="1.1249187838400667"/>
        <n v="5.474088164251208"/>
        <n v="0.5513058335367341"/>
        <n v="-0.8929801324503311"/>
        <n v="0.37552376000445675"/>
        <n v="-0.2854025130444042"/>
        <n v="2.9474953420282137"/>
        <n v="0.9724261432618372"/>
        <n v="0.881650515786183"/>
        <n v="0.3104766010442113"/>
        <n v="-0.35279892308504457"/>
        <n v="-0.3522773859896568"/>
        <n v="-0.6668760707015741"/>
        <n v="0.5027584436916128"/>
        <n v="0.9049823210001263"/>
        <n v="-0.8334186296783451"/>
        <n v="1.9875058548009368"/>
        <n v="-0.6857459370238699"/>
        <n v="-0.3915090456071932"/>
        <n v="0.08645532579008963"/>
        <n v="2.8235000900846794"/>
        <n v="0.9029050691836012"/>
        <n v="3.1441257834449967"/>
        <n v="2.7287288639646534"/>
        <n v="0.5925286404416841"/>
        <n v="1.7332954578060888"/>
        <n v="-0.6081361937581906"/>
        <n v="2.874920671955203"/>
        <n v="0.0751423290203328"/>
        <n v="-0.18894073954464713"/>
        <n v="-0.3099052432090966"/>
        <n v="0.01936126196017582"/>
        <n v="6.077304147465438"/>
        <n v="1.6606588413479744"/>
        <n v="-0.3541951118475559"/>
        <n v="-0.3956285533796589"/>
        <n v="-0.562025475703727"/>
        <n v="2.4177008984277517"/>
        <n v="1.4023432137285492"/>
        <n v="-0.3182306960304513"/>
        <n v="-0.6632454973393369"/>
        <n v="0.8848864795918366"/>
        <n v="0.42165335394657744"/>
        <n v="0.16015616127200458"/>
        <n v="-0.8479944626227033"/>
        <n v="-0.8171291287015946"/>
        <n v="-0.11053423626787054"/>
        <n v="-0.5745285574943102"/>
        <n v="-0.37737487873081094"/>
        <n v="-0.4060908344091069"/>
        <n v="0.6190217779364513"/>
        <n v="-0.4342299100750329"/>
        <n v="-0.757477497749775"/>
        <n v="1.4442464612822647"/>
        <n v="1.0678294080203692"/>
        <n v="-0.30079033668561433"/>
        <n v="0.5377507435558494"/>
        <n v="-0.38020083463745435"/>
        <n v="2.491312581063554"/>
        <n v="-0.1408878132118451"/>
        <n v="-0.24490601125854441"/>
        <n v="1.086228308789044"/>
        <n v="-0.5874763859031985"/>
        <n v="-0.01787137878457845"/>
        <n v="-0.29709042199538505"/>
        <n v="-0.4889531575952968"/>
        <n v="3.0544692532942896"/>
        <n v="-0.06889550091551133"/>
        <n v="-0.8154136263736264"/>
        <n v="0.7086737752161384"/>
        <n v="-0.3824556400506971"/>
        <n v="0.42228658106392"/>
        <n v="-0.16607383903842532"/>
        <n v="6.227886563133018"/>
        <n v="1.2947770111073713"/>
        <n v="-0.24875037015102167"/>
        <n v="-0.6859831535112626"/>
        <n v="-0.5661397819401733"/>
        <n v="-0.11782611907224104"/>
        <n v="3.4206689536878216"/>
        <n v="0.7992602623783325"/>
        <n v="2.3835626729932784"/>
        <n v="-0.04472652218782245"/>
        <n v="1.4050523616157298"/>
        <n v="0.7508570846905539"/>
        <n v="6.122135655362053"/>
        <n v="-0.35799571015196585"/>
        <n v="1.0468637692805642"/>
        <n v="-0.10069995731967565"/>
        <n v="-0.4085809832154725"/>
        <n v="0.3788984629715882"/>
        <n v="1.7318672997946611"/>
        <n v="0.9376663906038246"/>
        <n v="0.04958519463943838"/>
        <n v="1.1425176415242275"/>
        <n v="0.6010158505365215"/>
        <n v="-0.22904100742654185"/>
        <n v="0.12680872080716857"/>
        <n v="-0.17481055768412096"/>
        <n v="-0.3750624111234002"/>
        <n v="0.8912195845697329"/>
        <n v="0.8485714285714286"/>
        <n v="-0.29275960752248564"/>
        <n v="2.1421458865108973"/>
        <n v="-0.47259853121175033"/>
        <n v="0.0156039823008849"/>
        <n v="4.404870263591433"/>
        <n v="3.1270627942312004"/>
        <n v="-0.13595377754344345"/>
        <n v="-0.7993790558595241"/>
        <n v="-0.21595104423983832"/>
        <n v="-0.7980929983965793"/>
        <n v="1.1871713504549326"/>
        <n v="0.2541784897025172"/>
        <n v="-0.6839592046371707"/>
        <n v="-0.4051790358071614"/>
        <n v="-0.6916364196360879"/>
        <n v="-0.1263450055510547"/>
        <n v="-0.22413663603675588"/>
        <n v="-0.8673521465025518"/>
        <n v="-0.739449733434882"/>
        <n v="-0.3677241554483109"/>
        <n v="0.5010777020045464"/>
        <n v="-0.8549600733080246"/>
        <n v="1.337950363889116"/>
        <n v="0.15562666666666672"/>
        <n v="0.636520400984875"/>
        <n v="-0.7911601241738433"/>
        <n v="15.868164021164022"/>
        <n v="3.432309790845711"/>
        <n v="-0.07495929075447805"/>
        <n v="-0.12832132242172553"/>
        <n v="-0.6636534486902188"/>
        <n v="-0.6793379394123454"/>
        <n v="-0.5953556998229446"/>
        <n v="0.38750532292405954"/>
        <n v="-0.6427850751951266"/>
        <n v="0.08422277381321744"/>
        <n v="-0.6973668311348303"/>
        <n v="-0.8785125350933359"/>
        <n v="1.19899468261881"/>
        <n v="-0.03424250781393637"/>
        <n v="-0.5974533551554828"/>
        <n v="2.586698901098901"/>
        <n v="-0.14191990090834025"/>
        <n v="0.33526925638179794"/>
        <n v="-0.6514141705069124"/>
        <n v="-0.23146797717184533"/>
        <n v="-0.7219721218378937"/>
        <n v="1.4919230769230771"/>
        <n v="-0.2677770018621974"/>
        <n v="-0.47339925012094825"/>
        <n v="-0.6801630993779693"/>
        <n v="4.0109796228325525"/>
        <n v="-0.4938677270824613"/>
        <n v="3.3369108448262867"/>
        <n v="2.644716580782055"/>
        <n v="-0.22708723021582725"/>
        <n v="-0.9850759878419454"/>
        <n v="2.7697681236673772"/>
        <n v="-0.4452674386545354"/>
        <n v="-0.5687227248536456"/>
        <n v="0.4215289982425308"/>
        <n v="-0.040976515455640274"/>
        <n v="-0.18496703710679974"/>
        <n v="-0.12309227467811161"/>
        <n v="-0.3066775362318841"/>
        <n v="-0.35752889721961884"/>
        <n v="-0.7912781256114263"/>
        <n v="-0.06011184269865601"/>
        <n v="1.529291358654091"/>
        <n v="0.48243346668985915"/>
        <n v="-0.6740251019266129"/>
        <n v="2.5909873949579834"/>
        <n v="-0.21098670490093843"/>
        <n v="2.0814137974260407"/>
        <n v="-0.023281030855539984"/>
        <n v="-0.7382882772179897"/>
        <n v="-0.6930509309427643"/>
        <n v="-0.17058371198881508"/>
        <n v="0.9552673492605233"/>
        <n v="-0.021297520018658225"/>
        <n v="1.1061835456704816"/>
        <n v="5.60111625347919"/>
        <n v="9.500725232031082"/>
        <n v="0.08307446081173467"/>
        <n v="2.0414638783269963"/>
        <n v="-0.4907301912030844"/>
        <n v="-0.5206209061135372"/>
        <n v="-0.31614347357065803"/>
        <n v="4.169454575056985"/>
        <n v="-0.6242409442409442"/>
        <n v="0.02791898136768111"/>
        <n v="0.2218147043568465"/>
        <n v="0.2188324161001403"/>
        <n v="-0.03351830227953491"/>
        <n v="0.9287112970711296"/>
        <n v="0.3654435619196779"/>
        <n v="3.100926198275286"/>
        <n v="-0.5708761370016844"/>
        <n v="-0.8833644859813085"/>
        <n v="2.6738531443111597"/>
        <n v="-0.20602959938759896"/>
        <n v="-0.6702125494629735"/>
        <n v="-0.78181304616471"/>
        <n v="1.712779543251104"/>
        <n v="-0.8913801718968618"/>
        <n v="4.613583426651736"/>
        <n v="0.8818615209988651"/>
        <n v="0.4561816029630762"/>
        <n v="-0.6345622787254587"/>
        <n v="0.3540243481689585"/>
        <n v="-0.3282653985507246"/>
        <n v="0.3343977170321418"/>
        <n v="-0.8509260077305356"/>
        <n v="0.34689503249256515"/>
        <n v="0.8298774588842308"/>
        <n v="-0.7239922752808988"/>
        <n v="-0.16892411642411642"/>
        <n v="1.8204801908581"/>
        <n v="1.3674840203331824"/>
        <n v="-0.9018697196032814"/>
        <n v="0.12801804097441652"/>
        <n v="-0.7399763511564862"/>
        <n v="2.2091891133557797"/>
        <n v="-0.11382564083970848"/>
        <n v="4.1345833333333335"/>
        <n v="-0.3775851785276575"/>
        <n v="3.9336512261580383"/>
        <n v="-0.029582592883415353"/>
        <n v="-0.2999223498960744"/>
        <n v="-0.023559920737485925"/>
        <n v="-0.7220656075923252"/>
        <n v="0.09381088227108265"/>
        <n v="-0.7449120808360988"/>
        <n v="-0.9378531258979517"/>
        <n v="-0.3157467532467532"/>
        <n v="0.2521076493225789"/>
        <n v="-0.896697219983884"/>
        <n v="0.9461814779821781"/>
        <n v="-0.9513199157500585"/>
        <n v="0.6910667608618862"/>
        <n v="0.20637158274985512"/>
        <n v="0.49926720947446335"/>
        <n v="0.06067410130209955"/>
        <n v="-0.5623129158063777"/>
        <n v="0.19511619190404803"/>
        <n v="6.399717356687898"/>
        <n v="-0.804070597837176"/>
        <n v="-0.1973995904866908"/>
        <n v="-0.35794699098749877"/>
        <n v="-0.6772857701110926"/>
        <n v="-0.1300307350248496"/>
        <n v="0.2772330529440871"/>
        <n v="-0.7592740319348373"/>
        <n v="0.4453357449694778"/>
        <n v="-0.5905405960945529"/>
        <n v="1.962966354959992"/>
        <n v="-0.7217672413793103"/>
        <n v="-0.27628381896805454"/>
        <n v="0.26898712446351924"/>
        <n v="0.6880290602296695"/>
        <n v="-0.2927021883920076"/>
        <n v="7.123697666986257"/>
        <n v="-0.5949343339587242"/>
        <n v="4.261685153583618"/>
        <n v="-0.7916496402238608"/>
        <n v="0.26713043478260873"/>
        <n v="0.27920938536087725"/>
        <n v="4.466589997640953"/>
        <n v="0.748568345732296"/>
        <n v="0.5064725755166931"/>
        <n v="-0.06489819867394235"/>
        <n v="-0.10142840430510064"/>
        <n v="1.533424899500548"/>
        <n v="-0.618110387843523"/>
        <n v="5.622780867630701"/>
        <n v="-0.3570104148121773"/>
        <n v="-0.5758478931140801"/>
        <n v="-0.8774518083348632"/>
        <n v="-0.5437086034694235"/>
        <n v="-0.48033320418442466"/>
        <n v="1.0536760397626261"/>
        <n v="0.7082183558580646"/>
        <n v="3.09558826739427"/>
        <n v="-0.3195251193689018"/>
        <n v="1.01147866419295"/>
        <n v="2.084552538964304"/>
        <n v="0.33430971716605984"/>
        <n v="0.002152243851900385"/>
        <n v="-0.7029979916865162"/>
        <n v="-0.678588614659556"/>
        <n v="0.1267183856075389"/>
        <n v="2.3670348035837354"/>
        <n v="-0.09800074847186992"/>
        <n v="-0.28663798219584563"/>
        <n v="0.02641060036964172"/>
        <n v="1.4670121828094502"/>
        <n v="1.5515208351765017"/>
        <n v="-0.7968545090180361"/>
        <n v="-0.11465381689069234"/>
        <n v="2.074115460852329"/>
        <n v="-0.23159174649963152"/>
        <n v="0.18235568243838948"/>
        <n v="1.046135318873422"/>
        <n v="-0.4190866565313998"/>
        <n v="-0.6379843285598488"/>
        <n v="-0.3888018171493469"/>
        <n v="-0.3156093831906343"/>
        <n v="-0.960961226809859"/>
        <n v="-0.5789312039312039"/>
        <n v="6.564336035784177"/>
        <n v="0.6974555921951575"/>
        <n v="-0.7085763145166862"/>
        <n v="3.1987207285342585"/>
        <n v="0.08219497240956465"/>
        <n v="0.4042121836374337"/>
        <n v="2.8058370826010544"/>
        <n v="-0.8244774944916587"/>
        <n v="0.3077311383792977"/>
        <n v="2.4870049963943544"/>
        <n v="1.7883517301252636"/>
        <n v="11.516665322580646"/>
        <n v="0.207907659141266"/>
        <n v="0.20692155122918732"/>
        <n v="-0.30593832020997375"/>
        <n v="-0.4308156529938708"/>
        <n v="-0.2975964436407475"/>
        <n v="12.20362804878049"/>
        <n v="8.184319333816076"/>
        <n v="0.4094757635617687"/>
        <n v="0.30077828981054794"/>
        <n v="0.014293341708542783"/>
        <n v="-0.3860351585014409"/>
        <n v="0.017925377468060433"/>
        <n v="2.937420814479638"/>
        <n v="-0.1807582439281248"/>
        <n v="-0.5585484782433195"/>
        <n v="-0.6471640940935239"/>
        <n v="0.8560032626427406"/>
        <n v="-0.9382513435303844"/>
        <n v="2.1738702347891947"/>
        <n v="-0.6030355561768955"/>
        <n v="-0.05984038936406252"/>
        <n v="-0.6876792179580015"/>
        <n v="-0.8979628257027196"/>
        <n v="-0.825639442582466"/>
        <n v="9.743511837655017"/>
        <n v="-0.12196113744075834"/>
        <n v="0.2017572718154464"/>
        <n v="-0.5810317651016388"/>
        <n v="0.16335461890754738"/>
        <n v="3.3052783516667597"/>
        <n v="1.039694542253521"/>
        <n v="-0.6220191649555099"/>
        <n v="7.226055084745763"/>
        <n v="2.0116107382550337"/>
        <n v="-0.4949691589463245"/>
        <n v="-0.7415937738303503"/>
        <n v="-0.21733075760120946"/>
        <n v="-0.26882162492364087"/>
        <n v="-0.9459271278281739"/>
        <n v="-0.8933200063969295"/>
        <n v="-0.29153779537300506"/>
        <n v="6.91437465715853"/>
        <n v="0.09143166893817367"/>
        <n v="-0.5497671304218437"/>
        <n v="-0.19673124689518134"/>
        <n v="1.4073944832170158"/>
      </sharedItems>
    </cacheField>
    <cacheField name="CPA" numFmtId="166">
      <sharedItems containsSemiMixedTypes="0" containsString="0" containsNumber="1">
        <n v="68.9366391184573"/>
        <n v="268.87254901960785"/>
        <n v="490.2142857142857"/>
        <n v="83.31851851851852"/>
        <n v="427.8666666666667"/>
        <n v="214.91964285714286"/>
        <n v="153.94890510948906"/>
        <n v="634.6190476190476"/>
        <n v="58.75471698113208"/>
        <n v="229.46153846153845"/>
        <n v="149.5625"/>
        <n v="300.20588235294116"/>
        <n v="133.45038167938932"/>
        <n v="111.77083333333333"/>
        <n v="355.7642276422764"/>
        <n v="194.19815668202764"/>
        <n v="645.6923076923077"/>
        <n v="59.11666666666667"/>
        <n v="107.96396396396396"/>
        <n v="660.0"/>
        <n v="878.75"/>
        <n v="160.79324894514767"/>
        <n v="852.4318181818181"/>
        <n v="151.27722772277227"/>
        <n v="260.1136363636364"/>
        <n v="27.933333333333334"/>
        <n v="92.02100840336135"/>
        <n v="545.9411764705883"/>
        <n v="444.9166666666667"/>
        <n v="308.0"/>
        <n v="201.56701030927834"/>
        <n v="200.13978494623655"/>
        <n v="78.0291095890411"/>
        <n v="158.1030303030303"/>
        <n v="67.46875"/>
        <n v="167.62589928057554"/>
        <n v="657.45"/>
        <n v="510.6388888888889"/>
        <n v="434.9318181818182"/>
        <n v="156.08771929824562"/>
        <n v="427.8"/>
        <n v="64.0"/>
        <n v="141.13492063492063"/>
        <n v="286.28205128205127"/>
        <n v="141.704"/>
        <n v="39.51724137931034"/>
        <n v="109.46078431372548"/>
        <n v="26.3125"/>
        <n v="58.20454545454545"/>
        <n v="196.13333333333333"/>
        <n v="221.83908045977012"/>
        <n v="126.5"/>
        <n v="80.54601226993866"/>
        <n v="206.68421052631578"/>
        <n v="63.12903225806452"/>
        <n v="319.46666666666664"/>
        <n v="533.9333333333333"/>
        <n v="171.8640776699029"/>
        <n v="54.41284403669725"/>
        <n v="70.05797101449275"/>
        <n v="97.02160493827161"/>
        <n v="43.47222222222222"/>
        <n v="49.416666666666664"/>
        <n v="204.85853658536584"/>
        <n v="91.87096774193549"/>
        <n v="71.15254237288136"/>
        <n v="91.70967741935483"/>
        <n v="378.58490566037733"/>
        <n v="141.22033898305085"/>
        <n v="400.0"/>
        <n v="133.14831460674156"/>
        <n v="57.3"/>
        <n v="156.75"/>
        <n v="90.5"/>
        <n v="73.48648648648648"/>
        <n v="229.0"/>
        <n v="74.17857142857143"/>
        <n v="41.88154269972452"/>
        <n v="368.94827586206895"/>
        <n v="70.06666666666666"/>
        <n v="810.2857142857143"/>
        <n v="354.2352941176471"/>
        <n v="136.55670103092783"/>
        <n v="224.66071428571428"/>
        <n v="54.588235294117645"/>
        <n v="172.59931506849315"/>
        <n v="174.89057750759878"/>
        <n v="18.352195945945947"/>
        <n v="113.99555555555555"/>
        <n v="140.11764705882354"/>
        <n v="52.529411764705884"/>
        <n v="196.6051282051282"/>
        <n v="102.69491525423729"/>
        <n v="42.28918918918919"/>
        <n v="212.32631578947368"/>
        <n v="139.80769230769232"/>
        <n v="43.03703703703704"/>
        <n v="150.6153846153846"/>
        <n v="66.44897959183673"/>
        <n v="276.58490566037733"/>
        <n v="264.42424242424244"/>
        <n v="238.79166666666666"/>
        <n v="286.77142857142854"/>
        <n v="25.62"/>
        <n v="69.08695652173913"/>
        <n v="117.66666666666667"/>
        <n v="106.96446700507614"/>
        <n v="263.3625"/>
        <n v="80.4829268292683"/>
        <n v="37.50909090909091"/>
        <n v="141.46153846153845"/>
        <n v="455.0625"/>
        <n v="379.9428571428571"/>
        <n v="180.21259842519686"/>
        <n v="37.736363636363635"/>
        <n v="95.80564263322884"/>
        <n v="306.6507936507937"/>
        <n v="272.6521739130435"/>
        <n v="336.1304347826087"/>
        <n v="326.3529411764706"/>
        <n v="106.27027027027027"/>
        <n v="188.30232558139534"/>
        <n v="29.483660130718953"/>
        <n v="39.91304347826087"/>
        <n v="102.62549800796813"/>
        <n v="313.81081081081084"/>
        <n v="272.60674157303373"/>
        <n v="101.0"/>
        <n v="128.8527777777778"/>
        <n v="137.50865051903114"/>
        <n v="583.7368421052631"/>
        <n v="238.24752475247524"/>
        <n v="32.905660377358494"/>
        <n v="276.2340425531915"/>
        <n v="460.1666666666667"/>
        <n v="274.56470588235294"/>
        <n v="55.02040816326531"/>
        <n v="233.12727272727273"/>
        <n v="387.625"/>
        <n v="123.33333333333333"/>
        <n v="231.37037037037038"/>
        <n v="97.08695652173913"/>
        <n v="396.0243902439024"/>
        <n v="308.2857142857143"/>
        <n v="142.26530612244898"/>
        <n v="513.2307692307693"/>
        <n v="231.06666666666666"/>
        <n v="153.31132075471697"/>
        <n v="423.64285714285717"/>
        <n v="90.35897435897436"/>
        <n v="83.21875"/>
        <n v="223.2864077669903"/>
        <n v="345.344262295082"/>
        <n v="184.94871794871796"/>
        <n v="30.264150943396228"/>
        <n v="280.54901960784315"/>
        <n v="174.16666666666666"/>
        <n v="62.842465753424655"/>
        <n v="204.75"/>
        <n v="146.4375"/>
        <n v="223.62105263157895"/>
        <n v="156.18489583333334"/>
        <n v="105.70657276995306"/>
        <n v="139.13513513513513"/>
        <n v="72.10169491525424"/>
        <n v="123.80113636363636"/>
        <n v="221.86666666666667"/>
        <n v="73.41269841269842"/>
        <n v="173.68965517241378"/>
        <n v="364.7230769230769"/>
        <n v="136.38260869565218"/>
        <n v="277.2448979591837"/>
        <n v="72.8690036900369"/>
        <n v="78.64647887323943"/>
        <n v="233.42857142857142"/>
        <n v="111.736"/>
        <n v="234.84848484848484"/>
        <n v="419.2830188679245"/>
        <n v="113.54545454545455"/>
        <n v="91.32142857142857"/>
        <n v="134.62942779291552"/>
        <n v="193.92156862745097"/>
        <n v="527.1481481481482"/>
        <n v="247.3972602739726"/>
        <n v="784.4666666666667"/>
        <n v="130.8993710691824"/>
        <n v="135.4787234042553"/>
        <n v="83.71428571428571"/>
        <n v="206.19672131147541"/>
        <n v="368.3333333333333"/>
        <n v="78.5609756097561"/>
        <n v="259.1666666666667"/>
        <n v="49.526881720430104"/>
        <n v="124.26984126984127"/>
        <n v="261.25454545454545"/>
        <n v="457.075"/>
        <n v="294.51612903225805"/>
        <n v="247.1346153846154"/>
        <n v="273.8955223880597"/>
        <n v="31.435897435897434"/>
        <n v="93.60383944153578"/>
        <n v="54.78846153846154"/>
        <n v="69.10204081632654"/>
        <n v="123.20915032679738"/>
        <n v="435.7857142857143"/>
        <n v="205.94545454545454"/>
        <n v="62.89855072463768"/>
        <n v="100.02857142857142"/>
        <n v="185.8372093023256"/>
        <n v="64.64788732394366"/>
        <n v="898.8888888888889"/>
        <n v="18.522421524663677"/>
        <n v="107.0"/>
        <n v="547.3809523809524"/>
        <n v="64.4384236453202"/>
        <n v="85.89320388349515"/>
        <n v="1179.9"/>
        <n v="35.90689655172414"/>
        <n v="183.77142857142857"/>
        <n v="41.05607476635514"/>
        <n v="179.79245283018867"/>
        <n v="176.2"/>
        <n v="108.08333333333333"/>
        <n v="275.875"/>
        <n v="157.52201257861634"/>
        <n v="55.86486486486486"/>
        <n v="207.58252427184465"/>
        <n v="83.68085106382979"/>
        <n v="2166.529411764706"/>
        <n v="155.64625850340136"/>
        <n v="72.29694323144105"/>
        <n v="331.6730769230769"/>
        <n v="160.86764705882354"/>
        <n v="477.75"/>
        <n v="133.55140186915887"/>
        <n v="212.42592592592592"/>
        <n v="279.8235294117647"/>
        <n v="73.81111111111112"/>
        <n v="100.63709677419355"/>
        <n v="124.22026431718062"/>
        <n v="122.08695652173913"/>
        <n v="503.5882352941176"/>
        <n v="99.78709677419354"/>
        <n v="337.1111111111111"/>
        <n v="77.32786885245902"/>
        <n v="142.1723237597911"/>
        <n v="88.56226415094339"/>
        <n v="254.95652173913044"/>
        <n v="446.9318181818182"/>
        <n v="142.22340425531914"/>
        <n v="132.375"/>
        <n v="107.18181818181819"/>
        <n v="252.5632183908046"/>
        <n v="90.8695652173913"/>
        <n v="51.445086705202314"/>
        <n v="39.0"/>
        <n v="25.739436619718308"/>
        <n v="167.89864864864865"/>
        <n v="278.7631578947368"/>
        <n v="85.06382978723404"/>
        <n v="155.78515625"/>
        <n v="78.2660406885759"/>
        <n v="98.45"/>
        <n v="372.7073170731707"/>
        <n v="59.62589928057554"/>
        <n v="90.43571428571428"/>
        <n v="56.540983606557376"/>
        <n v="95.56306306306307"/>
        <n v="83.74157303370787"/>
        <n v="76.96875"/>
        <n v="199.52380952380952"/>
        <n v="45.833333333333336"/>
        <n v="284.29761904761904"/>
        <n v="110.87735849056604"/>
        <n v="60.04761904761905"/>
        <n v="52.284595300261095"/>
        <n v="65.65306122448979"/>
        <n v="84.95415472779369"/>
        <n v="11.27127659574468"/>
        <n v="213.96226415094338"/>
        <n v="96.78534031413612"/>
        <n v="221.33035714285714"/>
        <n v="59.09090909090909"/>
        <n v="41.567832167832165"/>
        <n v="96.67391304347827"/>
        <n v="55.9"/>
        <n v="332.2985074626866"/>
        <n v="65.6875"/>
        <n v="740.65"/>
        <n v="45.05882352941177"/>
        <n v="83.62222222222222"/>
        <n v="476.4166666666667"/>
        <n v="64.03921568627452"/>
        <n v="95.85054945054945"/>
        <n v="132.23353293413174"/>
        <n v="18.705882352941178"/>
        <n v="67.51764705882353"/>
        <n v="291.48275862068965"/>
        <n v="228.4655172413793"/>
        <n v="46.08536585365854"/>
        <n v="27.613657623947613"/>
        <n v="116.973293768546"/>
        <n v="135.83710407239818"/>
        <n v="141.3050847457627"/>
        <n v="145.4820143884892"/>
        <n v="204.52173913043478"/>
        <n v="31.733333333333334"/>
        <n v="144.94366197183098"/>
        <n v="244.77966101694915"/>
        <n v="24.664141414141415"/>
        <n v="60.46913580246913"/>
        <n v="70.75"/>
        <n v="663.0526315789474"/>
        <n v="239.38028169014083"/>
        <n v="73.78915662650603"/>
        <n v="27.675675675675677"/>
        <n v="32.53333333333333"/>
        <n v="95.96761133603239"/>
        <n v="109.22641509433963"/>
        <n v="48.4468085106383"/>
        <n v="232.9842105263158"/>
        <n v="132.10103626943004"/>
        <n v="131.53932584269663"/>
        <n v="359.9655172413793"/>
        <n v="42.13097866077999"/>
        <n v="289.25396825396825"/>
        <n v="292.4035087719298"/>
        <n v="54.45"/>
        <n v="124.67676767676768"/>
        <n v="70.4453781512605"/>
        <n v="155.48101265822785"/>
        <n v="137.54748603351956"/>
        <n v="111.53571428571429"/>
        <n v="1060.6785714285713"/>
        <n v="96.03846153846153"/>
        <n v="65.02173913043478"/>
        <n v="1055.4333333333334"/>
        <n v="227.77380952380952"/>
        <n v="167.49473684210525"/>
        <n v="136.66666666666666"/>
        <n v="22.727941176470587"/>
        <n v="296.94117647058823"/>
        <n v="251.9814814814815"/>
        <n v="58.916666666666664"/>
        <n v="52.38961038961039"/>
        <n v="205.9294117647059"/>
        <n v="304.9230769230769"/>
        <n v="105.42307692307692"/>
        <n v="117.42857142857143"/>
        <n v="727.4761904761905"/>
        <n v="237.05747126436782"/>
        <n v="111.16891891891892"/>
        <n v="89.53333333333333"/>
        <n v="43.0"/>
        <n v="94.62234042553192"/>
        <n v="126.64102564102564"/>
        <n v="99.8225806451613"/>
        <n v="54.75568181818182"/>
        <n v="186.98717948717947"/>
        <n v="60.89473684210526"/>
        <n v="317.6222222222222"/>
        <n v="292.1904761904762"/>
        <n v="45.858823529411765"/>
        <n v="74.9004329004329"/>
        <n v="80.24489795918367"/>
        <n v="184.3273381294964"/>
        <n v="89.7"/>
        <n v="101.6875"/>
        <n v="192.896"/>
        <n v="95.21142857142857"/>
        <n v="144.02573529411765"/>
        <n v="58.61363636363637"/>
        <n v="178.33014354066987"/>
        <n v="462.77777777777777"/>
        <n v="103.52272727272727"/>
        <n v="181.13483146067415"/>
        <n v="607.0"/>
        <n v="190.2608695652174"/>
        <n v="247.17777777777778"/>
        <n v="579.8888888888889"/>
        <n v="60.67567567567568"/>
        <n v="96.25774877650898"/>
        <n v="63.4263839811543"/>
        <n v="94.76176470588236"/>
        <n v="265.5925925925926"/>
        <n v="54.0"/>
        <n v="106.86046511627907"/>
        <n v="627.3636363636364"/>
        <n v="547.4"/>
        <n v="202.43697478991598"/>
        <n v="67.65057915057915"/>
        <n v="144.43529411764706"/>
        <n v="123.49180327868852"/>
        <n v="92.58974358974359"/>
        <n v="154.05882352941177"/>
        <n v="252.81333333333333"/>
        <n v="32.84057971014493"/>
        <n v="371.94545454545454"/>
        <n v="644.2972972972973"/>
        <n v="256.4339622641509"/>
        <n v="225.08955223880596"/>
        <n v="120.21220159151194"/>
        <n v="37.07848837209303"/>
        <n v="83.05172413793103"/>
        <n v="125.12704918032787"/>
        <n v="97.34750462107209"/>
        <n v="515.0833333333334"/>
        <n v="184.00401606425703"/>
        <n v="173.9824046920821"/>
        <n v="158.2"/>
        <n v="207.88095238095238"/>
        <n v="45.56896551724138"/>
        <n v="454.6666666666667"/>
        <n v="6.90275829827022"/>
        <n v="441.875"/>
        <n v="229.85207100591717"/>
        <n v="103.81818181818181"/>
        <n v="63.331428571428575"/>
        <n v="236.0"/>
        <n v="98.47101449275362"/>
        <n v="93.16455696202532"/>
        <n v="320.2258064516129"/>
        <n v="130.16326530612244"/>
        <n v="202.70833333333334"/>
        <n v="2029.5454545454545"/>
        <n v="330.37704918032784"/>
        <n v="763.625"/>
        <n v="479.2"/>
        <n v="217.34600760456274"/>
        <n v="111.125"/>
        <n v="2841.6363636363635"/>
        <n v="79.47513812154696"/>
        <n v="342.53097345132744"/>
        <n v="239.15"/>
        <n v="80.28658536585365"/>
        <n v="17.069364161849713"/>
        <n v="309.05555555555554"/>
        <n v="196.9536082474227"/>
        <n v="108.36666666666666"/>
        <n v="359.6470588235294"/>
        <n v="613.5405405405405"/>
        <n v="59.0"/>
        <n v="117.22784810126582"/>
        <n v="96.36224489795919"/>
        <n v="45.540983606557376"/>
        <n v="89.14893617021276"/>
        <n v="19.10909090909091"/>
        <n v="149.04761904761904"/>
        <n v="48.4054054054054"/>
        <n v="216.85185185185185"/>
        <n v="119.1864406779661"/>
        <n v="165.82"/>
        <n v="139.76"/>
        <n v="80.25"/>
        <n v="379.26"/>
        <n v="148.86"/>
        <n v="179.56"/>
        <n v="103.59"/>
        <n v="40.9"/>
        <n v="57.09"/>
        <n v="183.59"/>
        <n v="127.25"/>
        <n v="202.44"/>
        <n v="131.84"/>
        <n v="85.16"/>
        <n v="202.05"/>
        <n v="293.39"/>
        <n v="48.68"/>
        <n v="72.15"/>
        <n v="333.92"/>
        <n v="45.4"/>
        <n v="159.15"/>
        <n v="272.17"/>
        <n v="18.26"/>
        <n v="127.49"/>
        <n v="165.09"/>
        <n v="405.9"/>
        <n v="85.91"/>
        <n v="800.09"/>
        <n v="77.72"/>
        <n v="331.48"/>
        <n v="110.43"/>
        <n v="222.05"/>
        <n v="491.5"/>
        <n v="65.02"/>
        <n v="151.67"/>
        <n v="118.77"/>
        <n v="77.54"/>
        <n v="243.35"/>
        <n v="89.58"/>
        <n v="67.83"/>
        <n v="62.76"/>
        <n v="201.09"/>
        <n v="191.54"/>
        <n v="72.87"/>
        <n v="298.0"/>
        <n v="6.25"/>
        <n v="36.44"/>
        <n v="52.19"/>
        <n v="27.97"/>
        <n v="92.27"/>
        <n v="574.9"/>
        <n v="286.26"/>
        <n v="223.72"/>
        <n v="382.1"/>
        <n v="76.67"/>
        <n v="177.68"/>
        <n v="236.79"/>
        <n v="69.61"/>
        <n v="4.62"/>
        <n v="161.29"/>
        <n v="113.25"/>
        <n v="165.1"/>
        <n v="490.76"/>
        <n v="353.46"/>
        <n v="223.21"/>
        <n v="372.1"/>
        <n v="72.98"/>
        <n v="188.98"/>
        <n v="666.38"/>
        <n v="49.44"/>
        <n v="96.82"/>
        <n v="276.68"/>
        <n v="83.3"/>
        <n v="52.47"/>
        <n v="84.91"/>
        <n v="320.72"/>
        <n v="21.95"/>
        <n v="239.4"/>
        <n v="99.75"/>
        <n v="36.04"/>
        <n v="206.13"/>
        <n v="291.39"/>
        <n v="220.86"/>
        <n v="106.24"/>
        <n v="279.57"/>
        <n v="168.04"/>
        <n v="52.01"/>
        <n v="113.88"/>
        <n v="161.42"/>
        <n v="121.98"/>
        <n v="351.93"/>
        <n v="248.02"/>
        <n v="345.19"/>
        <n v="164.1"/>
        <n v="290.87"/>
        <n v="514.55"/>
        <n v="31.09"/>
        <n v="48.29"/>
        <n v="128.15"/>
        <n v="247.41"/>
        <n v="621.74"/>
        <n v="69.28"/>
        <n v="91.03"/>
        <n v="81.25"/>
        <n v="26.88"/>
        <n v="28.3"/>
        <n v="193.29"/>
        <n v="556.97"/>
        <n v="23.99"/>
        <n v="141.59"/>
        <n v="72.32"/>
        <n v="227.44"/>
        <n v="435.29"/>
        <n v="24.12"/>
        <n v="258.83"/>
        <n v="405.75"/>
        <n v="264.5"/>
        <n v="601.89"/>
        <n v="391.7"/>
        <n v="41.35"/>
        <n v="105.84"/>
        <n v="228.19"/>
        <n v="24.61"/>
        <n v="105.21"/>
        <n v="265.42"/>
        <n v="211.14"/>
        <n v="816.11"/>
        <n v="278.51"/>
        <n v="43.39"/>
        <n v="48.35"/>
        <n v="229.92"/>
        <n v="128.82"/>
        <n v="47.71"/>
        <n v="229.99"/>
        <n v="177.0"/>
        <n v="116.19"/>
        <n v="102.18"/>
        <n v="157.29"/>
        <n v="184.18"/>
        <n v="50.75"/>
        <n v="168.52"/>
        <n v="84.7"/>
        <n v="80.53"/>
        <n v="44.09"/>
        <n v="42.19"/>
        <n v="178.48"/>
        <n v="34.74"/>
        <n v="495.36"/>
        <n v="138.05"/>
        <n v="73.92"/>
        <n v="533.09"/>
        <n v="177.13"/>
        <n v="177.55"/>
        <n v="115.56"/>
        <n v="93.31"/>
        <n v="157.46"/>
        <n v="161.16"/>
        <n v="52.45"/>
        <n v="198.93"/>
        <n v="113.3"/>
        <n v="21.03"/>
        <n v="495.69"/>
        <n v="57.7"/>
        <n v="140.57"/>
        <n v="106.95"/>
        <n v="145.21"/>
        <n v="139.53"/>
        <n v="56.4"/>
        <n v="62.19"/>
        <n v="266.6"/>
        <n v="577.07"/>
        <n v="257.47"/>
        <n v="18.02"/>
        <n v="63.29"/>
        <n v="227.75"/>
        <n v="249.84"/>
        <n v="52.52"/>
        <n v="112.17"/>
        <n v="180.35"/>
        <n v="108.4"/>
        <n v="196.92"/>
        <n v="372.36"/>
        <n v="88.32"/>
        <n v="79.92"/>
        <n v="209.62"/>
        <n v="34.73"/>
        <n v="183.63"/>
        <n v="63.55"/>
        <n v="66.29"/>
        <n v="57.06"/>
        <n v="116.63"/>
        <n v="12.93"/>
        <n v="70.87"/>
        <n v="237.02"/>
        <n v="62.18"/>
        <n v="118.74"/>
        <n v="88.42"/>
        <n v="480.0"/>
        <n v="387.86"/>
        <n v="230.55"/>
        <n v="52.0"/>
        <n v="383.72"/>
        <n v="270.86"/>
        <n v="259.95"/>
        <n v="358.66"/>
        <n v="351.23"/>
        <n v="117.03"/>
        <n v="76.22"/>
        <n v="100.24"/>
        <n v="176.53"/>
        <n v="108.59"/>
        <n v="53.06"/>
        <n v="229.26"/>
        <n v="15.62"/>
        <n v="30.87"/>
        <n v="26.64"/>
        <n v="109.86"/>
        <n v="759.33"/>
        <n v="61.91"/>
        <n v="435.75"/>
        <n v="115.2"/>
        <n v="83.76"/>
        <n v="80.82"/>
        <n v="700.83"/>
        <n v="56.82"/>
        <n v="137.4"/>
        <n v="269.49"/>
        <n v="510.12"/>
        <n v="66.5"/>
        <n v="19.32"/>
        <n v="118.54"/>
        <n v="235.29"/>
        <n v="86.77"/>
        <n v="532.67"/>
        <n v="66.35"/>
        <n v="117.09"/>
        <n v="89.81"/>
        <n v="252.27"/>
        <n v="442.93"/>
        <n v="69.08"/>
        <n v="77.69"/>
        <n v="104.61"/>
        <n v="223.56"/>
        <n v="672.0"/>
        <n v="91.62"/>
        <n v="76.96"/>
        <n v="117.0"/>
        <n v="166.51"/>
        <n v="88.99"/>
        <n v="96.28"/>
        <n v="29.08"/>
        <n v="100.73"/>
        <n v="211.1"/>
        <n v="37.22"/>
        <n v="236.09"/>
        <n v="274.65"/>
        <n v="143.56"/>
        <n v="132.89"/>
        <n v="136.61"/>
        <n v="126.45"/>
        <n v="436.47"/>
        <n v="293.35"/>
        <n v="78.33"/>
        <n v="42.3"/>
        <n v="298.28"/>
        <n v="71.0"/>
        <n v="95.77"/>
        <n v="69.91"/>
        <n v="164.46"/>
        <n v="318.28"/>
        <n v="358.28"/>
        <n v="72.24"/>
        <n v="96.09"/>
        <n v="122.03"/>
        <n v="300.61"/>
        <n v="222.37"/>
        <n v="83.9"/>
        <n v="363.92"/>
        <n v="121.06"/>
        <n v="82.3"/>
        <n v="72.78"/>
        <n v="249.81"/>
        <n v="70.58"/>
        <n v="469.89"/>
        <n v="93.72"/>
        <n v="77.3"/>
        <n v="395.96"/>
        <n v="473.88"/>
        <n v="399.94"/>
        <n v="33.04"/>
        <n v="52.36"/>
        <n v="86.58"/>
        <n v="210.76"/>
        <n v="107.05"/>
        <n v="532.11"/>
        <n v="256.51"/>
        <n v="294.23"/>
        <n v="237.9"/>
        <n v="99.0"/>
        <n v="416.39"/>
        <n v="500.79"/>
        <n v="102.96"/>
        <n v="78.64"/>
        <n v="276.83"/>
        <n v="357.77"/>
        <n v="108.13"/>
        <n v="28.25"/>
        <n v="473.14"/>
        <n v="146.32"/>
        <n v="436.22"/>
        <n v="124.66"/>
        <n v="182.35"/>
        <n v="33.66"/>
        <n v="70.1"/>
        <n v="84.18"/>
        <n v="163.1"/>
        <n v="326.6"/>
        <n v="332.34"/>
        <n v="159.54"/>
        <n v="129.88"/>
        <n v="80.19"/>
        <n v="929.22"/>
        <n v="40.67"/>
        <n v="246.13"/>
        <n v="233.7"/>
        <n v="176.76"/>
        <n v="33.5"/>
        <n v="38.27"/>
        <n v="42.84"/>
        <n v="25.26"/>
        <n v="258.75"/>
        <n v="85.21"/>
        <n v="556.84"/>
        <n v="55.66"/>
        <n v="150.28"/>
        <n v="154.83"/>
        <n v="904.57"/>
        <n v="58.15"/>
        <n v="23.11"/>
        <n v="37.73"/>
        <n v="263.83"/>
        <n v="334.68"/>
        <n v="58.71"/>
        <n v="27.16"/>
        <n v="110.2"/>
        <n v="207.91"/>
        <n v="138.61"/>
        <n v="121.45"/>
        <n v="863.7"/>
        <n v="265.06"/>
        <n v="61.34"/>
        <n v="267.45"/>
        <n v="153.71"/>
        <n v="266.28"/>
        <n v="127.32"/>
        <n v="329.42"/>
        <n v="143.35"/>
        <n v="53.98"/>
        <n v="92.41"/>
        <n v="19.34"/>
        <n v="70.78"/>
        <n v="116.18"/>
        <n v="68.84"/>
        <n v="134.05"/>
        <n v="135.35"/>
        <n v="101.53"/>
        <n v="286.93"/>
        <n v="136.54"/>
        <n v="253.16"/>
        <n v="170.1"/>
        <n v="50.59"/>
        <n v="110.81"/>
        <n v="315.97"/>
        <n v="109.12"/>
        <n v="242.77"/>
        <n v="79.18"/>
        <n v="172.17"/>
        <n v="56.96"/>
        <n v="89.69"/>
        <n v="281.42"/>
        <n v="105.03"/>
        <n v="293.2"/>
        <n v="180.51"/>
        <n v="35.99"/>
        <n v="110.94"/>
        <n v="58.81"/>
        <n v="216.6"/>
        <n v="39.32"/>
        <n v="105.41"/>
        <n v="22.73"/>
        <n v="66.27"/>
        <n v="156.2"/>
        <n v="247.09"/>
        <n v="49.93"/>
        <n v="288.59"/>
        <n v="102.17"/>
        <n v="210.94"/>
        <n v="91.76"/>
        <n v="72.28"/>
        <n v="242.9"/>
        <n v="136.28"/>
        <n v="69.09"/>
        <n v="222.07"/>
        <n v="54.35"/>
        <n v="109.53"/>
        <n v="111.18"/>
        <n v="58.95"/>
        <n v="173.83"/>
        <n v="60.27"/>
        <n v="34.94"/>
        <n v="39.75"/>
        <n v="85.72"/>
        <n v="302.27"/>
        <n v="278.31"/>
        <n v="550.29"/>
        <n v="474.7"/>
        <n v="115.0"/>
        <n v="223.43"/>
        <n v="357.07"/>
        <n v="154.61"/>
        <n v="185.15"/>
        <n v="107.89"/>
        <n v="333.1"/>
        <n v="175.07"/>
        <n v="281.21"/>
        <n v="146.64"/>
        <n v="449.35"/>
        <n v="73.67"/>
        <n v="147.73"/>
        <n v="118.46"/>
        <n v="624.13"/>
        <n v="13.22"/>
        <n v="167.48"/>
        <n v="91.3"/>
        <n v="253.72"/>
        <n v="263.42"/>
        <n v="449.53"/>
        <n v="70.45"/>
        <n v="404.08"/>
        <n v="94.79"/>
        <n v="509.28"/>
        <n v="356.19"/>
        <n v="171.94"/>
        <n v="178.33"/>
        <n v="381.88"/>
        <n v="60.67"/>
        <n v="197.14"/>
        <n v="69.1"/>
        <n v="496.0"/>
        <n v="210.27"/>
        <n v="734.72"/>
        <n v="95.33"/>
        <n v="143.2"/>
        <n v="187.91"/>
        <n v="152.37"/>
        <n v="32.92"/>
        <n v="120.0"/>
        <n v="118.47"/>
        <n v="55.92"/>
        <n v="97.54"/>
        <n v="99.22"/>
        <n v="96.21"/>
        <n v="120.65"/>
        <n v="110.53"/>
        <n v="87.54"/>
        <n v="188.0"/>
        <n v="230.83"/>
        <n v="15.59"/>
        <n v="18.65"/>
        <n v="280.09"/>
        <n v="224.66"/>
        <n v="187.92"/>
        <n v="41.53"/>
        <n v="153.31"/>
        <n v="338.08"/>
        <n v="39.2"/>
        <n v="144.75"/>
        <n v="60.06"/>
        <n v="131.13"/>
        <n v="739.82"/>
        <n v="350.03"/>
        <n v="100.39"/>
        <n v="90.93"/>
        <n v="27.19"/>
        <n v="99.38"/>
        <n v="30.84"/>
        <n v="34.83"/>
        <n v="71.83"/>
        <n v="23.45"/>
        <n v="117.68"/>
        <n v="385.68"/>
        <n v="292.74"/>
        <n v="682.44"/>
        <n v="212.63"/>
        <n v="103.25"/>
        <n v="104.22"/>
        <n v="168.49"/>
        <n v="82.76"/>
        <n v="45.42"/>
        <n v="120.8"/>
        <n v="39.55"/>
        <n v="146.95"/>
        <n v="222.92"/>
        <n v="12.5"/>
        <n v="34.79"/>
        <n v="276.41"/>
        <n v="283.23"/>
        <n v="72.81"/>
        <n v="625.38"/>
        <n v="23.5"/>
        <n v="97.89"/>
        <n v="44.13"/>
        <n v="454.68"/>
        <n v="140.9"/>
        <n v="105.14"/>
        <n v="136.19"/>
        <n v="54.88"/>
        <n v="126.1"/>
        <n v="91.21"/>
        <n v="242.38"/>
        <n v="35.63"/>
        <n v="51.78"/>
        <n v="70.46"/>
        <n v="510.44"/>
        <n v="135.32"/>
        <n v="275.19"/>
        <n v="28.51"/>
        <n v="240.88"/>
        <n v="29.1"/>
        <n v="107.36"/>
        <n v="44.4"/>
        <n v="90.29"/>
        <n v="19.58"/>
        <n v="82.32"/>
        <n v="550.8"/>
        <n v="140.56"/>
        <n v="747.74"/>
        <n v="363.42"/>
        <n v="141.33"/>
        <n v="92.53"/>
        <n v="195.68"/>
        <n v="64.34"/>
        <n v="474.78"/>
        <n v="113.24"/>
        <n v="7.2"/>
        <n v="50.04"/>
        <n v="61.42"/>
        <n v="155.68"/>
        <n v="156.94"/>
        <n v="30.27"/>
        <n v="112.63"/>
        <n v="226.75"/>
        <n v="319.88"/>
        <n v="203.89"/>
        <n v="129.55"/>
        <n v="291.87"/>
        <n v="66.01"/>
        <n v="194.6"/>
        <n v="110.35"/>
        <n v="715.33"/>
        <n v="231.25"/>
        <n v="129.44"/>
        <n v="76.2"/>
        <n v="250.24"/>
        <n v="21.88"/>
        <n v="155.46"/>
        <n v="29.4"/>
        <n v="351.78"/>
        <n v="76.08"/>
        <n v="130.7"/>
        <n v="249.35"/>
        <n v="77.92"/>
        <n v="117.02"/>
        <n v="293.84"/>
        <n v="55.87"/>
        <n v="46.91"/>
        <n v="72.83"/>
        <n v="23.66"/>
        <n v="252.45"/>
        <n v="108.11"/>
        <n v="269.65"/>
        <n v="57.32"/>
        <n v="322.63"/>
        <n v="37.15"/>
        <n v="69.27"/>
        <n v="34.35"/>
        <n v="93.99"/>
        <n v="107.8"/>
        <n v="56.03"/>
        <n v="99.19"/>
        <n v="199.34"/>
        <n v="45.52"/>
        <n v="409.98"/>
        <n v="141.97"/>
        <n v="34.86"/>
        <n v="165.86"/>
        <n v="220.98"/>
        <n v="89.94"/>
        <n v="345.51"/>
        <n v="91.15"/>
        <n v="231.02"/>
        <n v="67.98"/>
        <n v="30.38"/>
        <n v="96.93"/>
        <n v="154.67"/>
        <n v="52.18"/>
        <n v="388.68"/>
        <n v="370.1"/>
        <n v="209.64"/>
        <n v="165.88"/>
        <n v="67.15"/>
        <n v="563.54"/>
        <n v="96.13"/>
        <n v="129.65"/>
        <n v="38.43"/>
        <n v="130.48"/>
        <n v="54.11"/>
        <n v="52.06"/>
        <n v="309.95"/>
        <n v="109.75"/>
        <n v="35.23"/>
        <n v="63.99"/>
        <n v="310.0"/>
        <n v="74.44"/>
        <n v="8.03"/>
        <n v="169.33"/>
        <n v="50.5"/>
        <n v="276.5"/>
        <n v="70.29"/>
        <n v="50.22"/>
        <n v="123.39"/>
        <n v="32.02"/>
        <n v="102.71"/>
        <n v="103.89"/>
        <n v="97.7"/>
        <n v="44.2"/>
        <n v="241.16"/>
        <n v="186.27"/>
        <n v="219.46"/>
        <n v="36.6"/>
        <n v="549.77"/>
        <n v="36.68"/>
        <n v="335.3"/>
        <n v="94.72"/>
        <n v="316.41"/>
        <n v="649.59"/>
        <n v="269.95"/>
        <n v="82.51"/>
        <n v="199.06"/>
        <n v="115.93"/>
        <n v="260.11"/>
        <n v="55.72"/>
        <n v="56.14"/>
        <n v="60.11"/>
        <n v="151.14"/>
        <n v="65.56"/>
        <n v="47.68"/>
        <n v="102.33"/>
        <n v="41.69"/>
        <n v="241.34"/>
        <n v="150.18"/>
        <n v="367.82"/>
        <n v="52.71"/>
        <n v="237.74"/>
        <n v="18.89"/>
        <n v="96.66"/>
        <n v="154.49"/>
        <n v="188.72"/>
        <n v="56.77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nalysis" cacheId="0" dataCaption="" compact="0" compactData="0">
  <location ref="A1:C14" firstHeaderRow="0" firstDataRow="2" firstDataCol="0"/>
  <pivotFields>
    <pivotField name="Campaign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t="default"/>
      </items>
    </pivotField>
    <pivotField name="Campaign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Start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t="default"/>
      </items>
    </pivotField>
    <pivotField name="End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t="default"/>
      </items>
    </pivotField>
    <pivotField name="Channel" compact="0" outline="0" multipleItemSelectionAllowed="1" showAll="0">
      <items>
        <item x="0"/>
        <item x="1"/>
        <item x="2"/>
        <item t="default"/>
      </items>
    </pivotField>
    <pivotField name="Spend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t="default"/>
      </items>
    </pivotField>
    <pivotField name="LeadsGenerate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t="default"/>
      </items>
    </pivotField>
    <pivotField name="Conversion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t="default"/>
      </items>
    </pivotField>
    <pivotField name="RevenueGenerated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t="default"/>
      </items>
    </pivotField>
    <pivotField name="Click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t="default"/>
      </items>
    </pivotField>
    <pivotField name="Impression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t="default"/>
      </items>
    </pivotField>
    <pivotField name="Date" compact="0" outline="0" multipleItemSelectionAllowed="1" showAll="0">
      <items>
        <item x="0"/>
        <item t="default"/>
      </items>
    </pivotField>
    <pivotField name="ROI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t="default"/>
      </items>
    </pivotField>
    <pivotField name="CPA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t="default"/>
      </items>
    </pivotField>
  </pivotFields>
  <rowFields>
    <field x="1"/>
  </rowFields>
  <colFields>
    <field x="-2"/>
  </colFields>
  <dataFields>
    <dataField name="Spend" fld="5" baseField="0"/>
    <dataField name="Revenue" fld="8" baseField="0"/>
  </dataFields>
</pivotTableDefinition>
</file>

<file path=xl/pivotTables/pivotTable2.xml><?xml version="1.0" encoding="utf-8"?>
<pivotTableDefinition xmlns="http://schemas.openxmlformats.org/spreadsheetml/2006/main" name="Analysis 2" cacheId="0" dataCaption="" compact="0" compactData="0">
  <location ref="F1:H14" firstHeaderRow="0" firstDataRow="2" firstDataCol="0"/>
  <pivotFields>
    <pivotField name="Campaign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t="default"/>
      </items>
    </pivotField>
    <pivotField name="CampaignName" axis="axisRow" compact="0" outline="0" multipleItemSelectionAllowed="1" showAll="0" sortType="descending">
      <items>
        <item x="0"/>
        <item x="4"/>
        <item x="3"/>
        <item x="9"/>
        <item x="10"/>
        <item x="1"/>
        <item x="8"/>
        <item x="2"/>
        <item x="6"/>
        <item x="11"/>
        <item x="7"/>
        <item x="5"/>
        <item t="default"/>
      </items>
    </pivotField>
    <pivotField name="Start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t="default"/>
      </items>
    </pivotField>
    <pivotField name="End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t="default"/>
      </items>
    </pivotField>
    <pivotField name="Channel" compact="0" outline="0" multipleItemSelectionAllowed="1" showAll="0">
      <items>
        <item x="0"/>
        <item x="1"/>
        <item x="2"/>
        <item t="default"/>
      </items>
    </pivotField>
    <pivotField name="Spen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t="default"/>
      </items>
    </pivotField>
    <pivotField name="LeadsGenerated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t="default"/>
      </items>
    </pivotField>
    <pivotField name="Conversion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t="default"/>
      </items>
    </pivotField>
    <pivotField name="RevenueGenerated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t="default"/>
      </items>
    </pivotField>
    <pivotField name="Click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t="default"/>
      </items>
    </pivotField>
    <pivotField name="Impression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t="default"/>
      </items>
    </pivotField>
    <pivotField name="Date" compact="0" outline="0" multipleItemSelectionAllowed="1" showAll="0">
      <items>
        <item x="0"/>
        <item t="default"/>
      </items>
    </pivotField>
    <pivotField name="ROI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t="default"/>
      </items>
    </pivotField>
    <pivotField name="CPA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t="default"/>
      </items>
    </pivotField>
  </pivotFields>
  <rowFields>
    <field x="1"/>
  </rowFields>
  <colFields>
    <field x="-2"/>
  </colFields>
  <dataFields>
    <dataField name=" Leads" fld="6" baseField="0"/>
    <dataField name="Conversions" fld="7" baseField="0"/>
  </dataFields>
</pivotTableDefinition>
</file>

<file path=xl/pivotTables/pivotTable3.xml><?xml version="1.0" encoding="utf-8"?>
<pivotTableDefinition xmlns="http://schemas.openxmlformats.org/spreadsheetml/2006/main" name="Analysis 3" cacheId="0" dataCaption="" rowGrandTotals="0" compact="0" compactData="0">
  <location ref="J1:L13" firstHeaderRow="0" firstDataRow="2" firstDataCol="0"/>
  <pivotFields>
    <pivotField name="Campaign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t="default"/>
      </items>
    </pivotField>
    <pivotField name="Campaign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tart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t="default"/>
      </items>
    </pivotField>
    <pivotField name="End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t="default"/>
      </items>
    </pivotField>
    <pivotField name="Channel" compact="0" outline="0" multipleItemSelectionAllowed="1" showAll="0">
      <items>
        <item x="0"/>
        <item x="1"/>
        <item x="2"/>
        <item t="default"/>
      </items>
    </pivotField>
    <pivotField name="Spen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t="default"/>
      </items>
    </pivotField>
    <pivotField name="LeadsGenerate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t="default"/>
      </items>
    </pivotField>
    <pivotField name="Conversion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t="default"/>
      </items>
    </pivotField>
    <pivotField name="RevenueGenerated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t="default"/>
      </items>
    </pivotField>
    <pivotField name="Click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t="default"/>
      </items>
    </pivotField>
    <pivotField name="Impression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t="default"/>
      </items>
    </pivotField>
    <pivotField name="Date" compact="0" outline="0" multipleItemSelectionAllowed="1" showAll="0">
      <items>
        <item x="0"/>
        <item t="default"/>
      </items>
    </pivotField>
    <pivotField name="ROI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t="default"/>
      </items>
    </pivotField>
    <pivotField name="CPA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t="default"/>
      </items>
    </pivotField>
  </pivotFields>
  <rowFields>
    <field x="1"/>
  </rowFields>
  <colFields>
    <field x="-2"/>
  </colFields>
  <dataFields>
    <dataField name="Clicks" fld="9" baseField="0"/>
    <dataField name="Impressions" fld="10" baseField="0"/>
  </dataFields>
</pivotTableDefinition>
</file>

<file path=xl/pivotTables/pivotTable4.xml><?xml version="1.0" encoding="utf-8"?>
<pivotTableDefinition xmlns="http://schemas.openxmlformats.org/spreadsheetml/2006/main" name="Analysis 4" cacheId="0" dataCaption="" rowGrandTotals="0" compact="0" compactData="0">
  <location ref="N1:P13" firstHeaderRow="0" firstDataRow="2" firstDataCol="0"/>
  <pivotFields>
    <pivotField name="Campaign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t="default"/>
      </items>
    </pivotField>
    <pivotField name="Campaign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Start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t="default"/>
      </items>
    </pivotField>
    <pivotField name="End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t="default"/>
      </items>
    </pivotField>
    <pivotField name="Channel" compact="0" outline="0" multipleItemSelectionAllowed="1" showAll="0">
      <items>
        <item x="0"/>
        <item x="1"/>
        <item x="2"/>
        <item t="default"/>
      </items>
    </pivotField>
    <pivotField name="Spend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t="default"/>
      </items>
    </pivotField>
    <pivotField name="LeadsGenerate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t="default"/>
      </items>
    </pivotField>
    <pivotField name="Conversion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t="default"/>
      </items>
    </pivotField>
    <pivotField name="RevenueGenerated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t="default"/>
      </items>
    </pivotField>
    <pivotField name="Click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t="default"/>
      </items>
    </pivotField>
    <pivotField name="Impression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t="default"/>
      </items>
    </pivotField>
    <pivotField name="Date" compact="0" outline="0" multipleItemSelectionAllowed="1" showAll="0">
      <items>
        <item x="0"/>
        <item t="default"/>
      </items>
    </pivotField>
    <pivotField name="ROI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t="default"/>
      </items>
    </pivotField>
    <pivotField name="CPA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t="default"/>
      </items>
    </pivotField>
  </pivotFields>
  <rowFields>
    <field x="1"/>
  </rowFields>
  <colFields>
    <field x="-2"/>
  </colFields>
  <dataFields>
    <dataField name="Spend" fld="5" showDataAs="percentOfTotal" baseField="0" numFmtId="10"/>
    <dataField name="Revenue" fld="8" showDataAs="percentOfTotal" baseField="0" numFmtId="10"/>
  </dataFields>
</pivotTableDefinition>
</file>

<file path=xl/pivotTables/pivotTable5.xml><?xml version="1.0" encoding="utf-8"?>
<pivotTableDefinition xmlns="http://schemas.openxmlformats.org/spreadsheetml/2006/main" name="Analysis 5" cacheId="0" dataCaption="" rowGrandTotals="0" compact="0" compactData="0">
  <location ref="J17:L20" firstHeaderRow="0" firstDataRow="2" firstDataCol="0"/>
  <pivotFields>
    <pivotField name="Campaign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t="default"/>
      </items>
    </pivotField>
    <pivotField name="Campaign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tart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t="default"/>
      </items>
    </pivotField>
    <pivotField name="End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t="default"/>
      </items>
    </pivotField>
    <pivotField name="Channel" axis="axisRow" compact="0" outline="0" multipleItemSelectionAllowed="1" showAll="0" sortType="descending">
      <items>
        <item x="0"/>
        <item x="1"/>
        <item x="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pend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t="default"/>
      </items>
    </pivotField>
    <pivotField name="LeadsGenerated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t="default"/>
      </items>
    </pivotField>
    <pivotField name="Conversion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t="default"/>
      </items>
    </pivotField>
    <pivotField name="RevenueGenerated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t="default"/>
      </items>
    </pivotField>
    <pivotField name="Click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t="default"/>
      </items>
    </pivotField>
    <pivotField name="Impression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t="default"/>
      </items>
    </pivotField>
    <pivotField name="Date" compact="0" outline="0" multipleItemSelectionAllowed="1" showAll="0">
      <items>
        <item x="0"/>
        <item t="default"/>
      </items>
    </pivotField>
    <pivotField name="ROI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t="default"/>
      </items>
    </pivotField>
    <pivotField name="CPA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t="default"/>
      </items>
    </pivotField>
  </pivotFields>
  <rowFields>
    <field x="4"/>
  </rowFields>
  <colFields>
    <field x="-2"/>
  </colFields>
  <dataFields>
    <dataField name="Spend" fld="5" showDataAs="percentOfTotal" baseField="0" numFmtId="10"/>
    <dataField name="Leads" fld="6" baseField="0"/>
  </dataFields>
</pivotTableDefinition>
</file>

<file path=xl/pivotTables/pivotTable6.xml><?xml version="1.0" encoding="utf-8"?>
<pivotTableDefinition xmlns="http://schemas.openxmlformats.org/spreadsheetml/2006/main" name="Analysis 6" cacheId="0" dataCaption="" rowGrandTotals="0" compact="0" compactData="0">
  <location ref="O17:Q20" firstHeaderRow="0" firstDataRow="2" firstDataCol="0"/>
  <pivotFields>
    <pivotField name="Campaign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t="default"/>
      </items>
    </pivotField>
    <pivotField name="Campaign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tart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t="default"/>
      </items>
    </pivotField>
    <pivotField name="End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t="default"/>
      </items>
    </pivotField>
    <pivotField name="Channel" axis="axisRow" compact="0" outline="0" multipleItemSelectionAllowed="1" showAll="0" sortType="descending">
      <items>
        <item x="0"/>
        <item x="1"/>
        <item x="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pend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t="default"/>
      </items>
    </pivotField>
    <pivotField name="LeadsGenerate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t="default"/>
      </items>
    </pivotField>
    <pivotField name="Conversion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t="default"/>
      </items>
    </pivotField>
    <pivotField name="RevenueGenerated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t="default"/>
      </items>
    </pivotField>
    <pivotField name="Click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t="default"/>
      </items>
    </pivotField>
    <pivotField name="Impression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t="default"/>
      </items>
    </pivotField>
    <pivotField name="Date" compact="0" outline="0" multipleItemSelectionAllowed="1" showAll="0">
      <items>
        <item x="0"/>
        <item t="default"/>
      </items>
    </pivotField>
    <pivotField name="ROI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t="default"/>
      </items>
    </pivotField>
    <pivotField name="CPA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t="default"/>
      </items>
    </pivotField>
  </pivotFields>
  <rowFields>
    <field x="4"/>
  </rowFields>
  <colFields>
    <field x="-2"/>
  </colFields>
  <dataFields>
    <dataField name="Spend" fld="5" showDataAs="percentOfTotal" baseField="0" numFmtId="10"/>
    <dataField name="SUM of RevenueGenerated" fld="8" showDataAs="percentOfTotal" baseField="0" numFmtId="10"/>
  </dataFields>
</pivotTableDefinition>
</file>

<file path=xl/pivotTables/pivotTable7.xml><?xml version="1.0" encoding="utf-8"?>
<pivotTableDefinition xmlns="http://schemas.openxmlformats.org/spreadsheetml/2006/main" name="Analysis 7" cacheId="0" dataCaption="" compact="0" compactData="0">
  <location ref="E18:G31" firstHeaderRow="0" firstDataRow="2" firstDataCol="0"/>
  <pivotFields>
    <pivotField name="Campaign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t="default"/>
      </items>
    </pivotField>
    <pivotField name="Campaign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tart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t="default"/>
      </items>
    </pivotField>
    <pivotField name="End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t="default"/>
      </items>
    </pivotField>
    <pivotField name="Channel" compact="0" outline="0" multipleItemSelectionAllowed="1" showAll="0">
      <items>
        <item x="0"/>
        <item x="1"/>
        <item x="2"/>
        <item t="default"/>
      </items>
    </pivotField>
    <pivotField name="Spend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t="default"/>
      </items>
    </pivotField>
    <pivotField name="LeadsGenerate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t="default"/>
      </items>
    </pivotField>
    <pivotField name="Conversion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t="default"/>
      </items>
    </pivotField>
    <pivotField name="RevenueGenerated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t="default"/>
      </items>
    </pivotField>
    <pivotField name="Click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t="default"/>
      </items>
    </pivotField>
    <pivotField name="Impression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t="default"/>
      </items>
    </pivotField>
    <pivotField name="Date" compact="0" outline="0" multipleItemSelectionAllowed="1" showAll="0">
      <items>
        <item x="0"/>
        <item t="default"/>
      </items>
    </pivotField>
    <pivotField name="ROI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t="default"/>
      </items>
    </pivotField>
    <pivotField name="CPA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t="default"/>
      </items>
    </pivotField>
  </pivotFields>
  <rowFields>
    <field x="1"/>
  </rowFields>
  <colFields>
    <field x="-2"/>
  </colFields>
  <dataFields>
    <dataField name="Revenue" fld="8" baseField="0"/>
    <dataField name="Spend" fld="5" baseField="0"/>
  </dataFields>
</pivotTableDefinition>
</file>

<file path=xl/pivotTables/pivotTable8.xml><?xml version="1.0" encoding="utf-8"?>
<pivotTableDefinition xmlns="http://schemas.openxmlformats.org/spreadsheetml/2006/main" name="Analysis 8" cacheId="0" dataCaption="" rowGrandTotals="0" compact="0" compactData="0">
  <location ref="A19:B31" firstHeaderRow="0" firstDataRow="1" firstDataCol="0"/>
  <pivotFields>
    <pivotField name="Campaign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t="default"/>
      </items>
    </pivotField>
    <pivotField name="CampaignName" axis="axisRow" compact="0" outline="0" multipleItemSelectionAllowed="1" showAll="0" sortType="descending">
      <items>
        <item x="0"/>
        <item x="4"/>
        <item x="3"/>
        <item x="9"/>
        <item x="10"/>
        <item x="1"/>
        <item x="8"/>
        <item x="2"/>
        <item x="6"/>
        <item x="11"/>
        <item x="7"/>
        <item x="5"/>
        <item t="default"/>
      </items>
    </pivotField>
    <pivotField name="Start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t="default"/>
      </items>
    </pivotField>
    <pivotField name="End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t="default"/>
      </items>
    </pivotField>
    <pivotField name="Channel" compact="0" outline="0" multipleItemSelectionAllowed="1" showAll="0">
      <items>
        <item x="0"/>
        <item x="1"/>
        <item x="2"/>
        <item t="default"/>
      </items>
    </pivotField>
    <pivotField name="Spen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t="default"/>
      </items>
    </pivotField>
    <pivotField name="LeadsGenerate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t="default"/>
      </items>
    </pivotField>
    <pivotField name="Conversion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t="default"/>
      </items>
    </pivotField>
    <pivotField name="RevenueGenerated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t="default"/>
      </items>
    </pivotField>
    <pivotField name="Click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t="default"/>
      </items>
    </pivotField>
    <pivotField name="Impression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t="default"/>
      </items>
    </pivotField>
    <pivotField name="Date" compact="0" outline="0" multipleItemSelectionAllowed="1" showAll="0">
      <items>
        <item x="0"/>
        <item t="default"/>
      </items>
    </pivotField>
    <pivotField name="ROI" dataField="1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t="default"/>
      </items>
    </pivotField>
    <pivotField name="CPA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t="default"/>
      </items>
    </pivotField>
  </pivotFields>
  <rowFields>
    <field x="1"/>
  </rowFields>
  <dataFields>
    <dataField name="SUM of ROI" fld="12" baseField="0"/>
  </dataFields>
</pivotTableDefinition>
</file>

<file path=xl/pivotTables/pivotTable9.xml><?xml version="1.0" encoding="utf-8"?>
<pivotTableDefinition xmlns="http://schemas.openxmlformats.org/spreadsheetml/2006/main" name="Analysis 9" cacheId="0" dataCaption="" rowGrandTotals="0" compact="0" compactData="0">
  <location ref="J23:M26" firstHeaderRow="0" firstDataRow="2" firstDataCol="0"/>
  <pivotFields>
    <pivotField name="Campaign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t="default"/>
      </items>
    </pivotField>
    <pivotField name="Campaign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tart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t="default"/>
      </items>
    </pivotField>
    <pivotField name="End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t="default"/>
      </items>
    </pivotField>
    <pivotField name="Channel" axis="axisRow" compact="0" outline="0" multipleItemSelectionAllowed="1" showAll="0" sortType="ascending">
      <items>
        <item x="0"/>
        <item x="1"/>
        <item x="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pend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t="default"/>
      </items>
    </pivotField>
    <pivotField name="LeadsGenerate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t="default"/>
      </items>
    </pivotField>
    <pivotField name="Conversion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t="default"/>
      </items>
    </pivotField>
    <pivotField name="RevenueGenerated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t="default"/>
      </items>
    </pivotField>
    <pivotField name="Click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t="default"/>
      </items>
    </pivotField>
    <pivotField name="Impression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t="default"/>
      </items>
    </pivotField>
    <pivotField name="Date" compact="0" outline="0" multipleItemSelectionAllowed="1" showAll="0">
      <items>
        <item x="0"/>
        <item t="default"/>
      </items>
    </pivotField>
    <pivotField name="ROI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t="default"/>
      </items>
    </pivotField>
    <pivotField name="CPA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t="default"/>
      </items>
    </pivotField>
  </pivotFields>
  <rowFields>
    <field x="4"/>
  </rowFields>
  <colFields>
    <field x="-2"/>
  </colFields>
  <dataFields>
    <dataField name="Spend" fld="5" baseField="0"/>
    <dataField name="Revenue" fld="8" baseField="0"/>
    <dataField name="SUM of Conversions" fld="7" baseField="0"/>
  </dataFields>
</pivotTableDefinition>
</file>

<file path=xl/pivotTables/pivotTable10.xml><?xml version="1.0" encoding="utf-8"?>
<pivotTableDefinition xmlns="http://schemas.openxmlformats.org/spreadsheetml/2006/main" name="Analysis 10" cacheId="0" dataCaption="" rowGrandTotals="0" compact="0" compactData="0">
  <location ref="J30:L33" firstHeaderRow="0" firstDataRow="2" firstDataCol="0"/>
  <pivotFields>
    <pivotField name="Campaign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t="default"/>
      </items>
    </pivotField>
    <pivotField name="Campaign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tart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t="default"/>
      </items>
    </pivotField>
    <pivotField name="End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t="default"/>
      </items>
    </pivotField>
    <pivotField name="Channel" axis="axisRow" compact="0" outline="0" multipleItemSelectionAllowed="1" showAll="0" sortType="descending">
      <items>
        <item x="0"/>
        <item x="1"/>
        <item x="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pen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t="default"/>
      </items>
    </pivotField>
    <pivotField name="LeadsGenerate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t="default"/>
      </items>
    </pivotField>
    <pivotField name="Conversion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t="default"/>
      </items>
    </pivotField>
    <pivotField name="RevenueGenerated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t="default"/>
      </items>
    </pivotField>
    <pivotField name="Click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t="default"/>
      </items>
    </pivotField>
    <pivotField name="Impression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t="default"/>
      </items>
    </pivotField>
    <pivotField name="Date" compact="0" outline="0" multipleItemSelectionAllowed="1" showAll="0">
      <items>
        <item x="0"/>
        <item t="default"/>
      </items>
    </pivotField>
    <pivotField name="ROI" dataField="1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t="default"/>
      </items>
    </pivotField>
    <pivotField name="CPA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t="default"/>
      </items>
    </pivotField>
  </pivotFields>
  <rowFields>
    <field x="4"/>
  </rowFields>
  <colFields>
    <field x="-2"/>
  </colFields>
  <dataFields>
    <dataField name="ROI" fld="12" showDataAs="percentOfTotal" baseField="0" numFmtId="10"/>
    <dataField name="Avg CPA" fld="13" subtotal="average" baseField="0"/>
  </dataFields>
</pivotTableDefinition>
</file>

<file path=xl/pivotTables/pivotTable11.xml><?xml version="1.0" encoding="utf-8"?>
<pivotTableDefinition xmlns="http://schemas.openxmlformats.org/spreadsheetml/2006/main" name="Analysis 11" cacheId="0" dataCaption="" compact="0" compactData="0">
  <location ref="O30:R31" firstHeaderRow="0" firstDataRow="1" firstDataCol="0"/>
  <pivotFields>
    <pivotField name="Campaign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t="default"/>
      </items>
    </pivotField>
    <pivotField name="Campaign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tart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t="default"/>
      </items>
    </pivotField>
    <pivotField name="End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t="default"/>
      </items>
    </pivotField>
    <pivotField name="Channel" compact="0" outline="0" multipleItemSelectionAllowed="1" showAll="0">
      <items>
        <item x="0"/>
        <item x="1"/>
        <item x="2"/>
        <item t="default"/>
      </items>
    </pivotField>
    <pivotField name="Spen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t="default"/>
      </items>
    </pivotField>
    <pivotField name="LeadsGenerated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t="default"/>
      </items>
    </pivotField>
    <pivotField name="Conversion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t="default"/>
      </items>
    </pivotField>
    <pivotField name="RevenueGenerated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t="default"/>
      </items>
    </pivotField>
    <pivotField name="Click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t="default"/>
      </items>
    </pivotField>
    <pivotField name="Impression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t="default"/>
      </items>
    </pivotField>
    <pivotField name="Date" compact="0" outline="0" multipleItemSelectionAllowed="1" showAll="0">
      <items>
        <item x="0"/>
        <item t="default"/>
      </items>
    </pivotField>
    <pivotField name="ROI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t="default"/>
      </items>
    </pivotField>
    <pivotField name="CPA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t="default"/>
      </items>
    </pivotField>
  </pivotFields>
  <colFields>
    <field x="-2"/>
  </colFields>
  <dataFields>
    <dataField name="Impressions" fld="10" baseField="0"/>
    <dataField name="Clicks" fld="9" baseField="0"/>
    <dataField name="LeadsGenerated" fld="6" baseField="0"/>
    <dataField name="Conversions" fld="7" baseField="0"/>
  </dataFields>
</pivotTableDefinition>
</file>

<file path=xl/pivotTables/pivotTable12.xml><?xml version="1.0" encoding="utf-8"?>
<pivotTableDefinition xmlns="http://schemas.openxmlformats.org/spreadsheetml/2006/main" name="Analysis 12" cacheId="0" dataCaption="" compact="0" compactData="0">
  <location ref="N37:Q38" firstHeaderRow="0" firstDataRow="1" firstDataCol="0"/>
  <pivotFields>
    <pivotField name="Campaign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t="default"/>
      </items>
    </pivotField>
    <pivotField name="Campaign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tart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t="default"/>
      </items>
    </pivotField>
    <pivotField name="End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t="default"/>
      </items>
    </pivotField>
    <pivotField name="Channel" compact="0" outline="0" multipleItemSelectionAllowed="1" showAll="0">
      <items>
        <item x="0"/>
        <item x="1"/>
        <item x="2"/>
        <item t="default"/>
      </items>
    </pivotField>
    <pivotField name="Spen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t="default"/>
      </items>
    </pivotField>
    <pivotField name="LeadsGenerated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t="default"/>
      </items>
    </pivotField>
    <pivotField name="Conversion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t="default"/>
      </items>
    </pivotField>
    <pivotField name="RevenueGenerated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t="default"/>
      </items>
    </pivotField>
    <pivotField name="Click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t="default"/>
      </items>
    </pivotField>
    <pivotField name="Impression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t="default"/>
      </items>
    </pivotField>
    <pivotField name="Date" compact="0" outline="0" multipleItemSelectionAllowed="1" showAll="0">
      <items>
        <item x="0"/>
        <item t="default"/>
      </items>
    </pivotField>
    <pivotField name="ROI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t="default"/>
      </items>
    </pivotField>
    <pivotField name="CPA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t="default"/>
      </items>
    </pivotField>
  </pivotFields>
  <colFields>
    <field x="-2"/>
  </colFields>
  <dataFields>
    <dataField name="Impressions" fld="10" baseField="0"/>
    <dataField name="Clicks" fld="9" baseField="0"/>
    <dataField name="LeadsGenerated" fld="6" baseField="0"/>
    <dataField name="Conversions" fld="7" baseField="0"/>
  </dataFields>
</pivotTableDefinition>
</file>

<file path=xl/pivotTables/pivotTable13.xml><?xml version="1.0" encoding="utf-8"?>
<pivotTableDefinition xmlns="http://schemas.openxmlformats.org/spreadsheetml/2006/main" name="Analysis 13" cacheId="0" dataCaption="" rowGrandTotals="0" compact="0" compactData="0">
  <location ref="A38:C386" firstHeaderRow="0" firstDataRow="2" firstDataCol="0"/>
  <pivotFields>
    <pivotField name="Campaign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t="default"/>
      </items>
    </pivotField>
    <pivotField name="Campaign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tartDate" axis="axisRow" compact="0" numFmtId="164" outline="0" multipleItemSelectionAllowed="1" showAll="0" sortType="ascending">
      <items>
        <item x="290"/>
        <item x="190"/>
        <item x="220"/>
        <item x="322"/>
        <item x="74"/>
        <item x="328"/>
        <item x="91"/>
        <item x="306"/>
        <item x="304"/>
        <item x="299"/>
        <item x="219"/>
        <item x="0"/>
        <item x="315"/>
        <item x="228"/>
        <item x="4"/>
        <item x="216"/>
        <item x="102"/>
        <item x="244"/>
        <item x="206"/>
        <item x="227"/>
        <item x="15"/>
        <item x="226"/>
        <item x="87"/>
        <item x="184"/>
        <item x="249"/>
        <item x="7"/>
        <item x="85"/>
        <item x="231"/>
        <item x="332"/>
        <item x="223"/>
        <item x="42"/>
        <item x="29"/>
        <item x="10"/>
        <item x="149"/>
        <item x="32"/>
        <item x="68"/>
        <item x="151"/>
        <item x="123"/>
        <item x="90"/>
        <item x="246"/>
        <item x="97"/>
        <item x="176"/>
        <item x="178"/>
        <item x="331"/>
        <item x="284"/>
        <item x="115"/>
        <item x="242"/>
        <item x="46"/>
        <item x="297"/>
        <item x="98"/>
        <item x="263"/>
        <item x="81"/>
        <item x="80"/>
        <item x="171"/>
        <item x="111"/>
        <item x="44"/>
        <item x="314"/>
        <item x="140"/>
        <item x="293"/>
        <item x="273"/>
        <item x="287"/>
        <item x="248"/>
        <item x="56"/>
        <item x="166"/>
        <item x="132"/>
        <item x="188"/>
        <item x="59"/>
        <item x="272"/>
        <item x="109"/>
        <item x="88"/>
        <item x="310"/>
        <item x="336"/>
        <item x="128"/>
        <item x="286"/>
        <item x="283"/>
        <item x="47"/>
        <item x="72"/>
        <item x="20"/>
        <item x="225"/>
        <item x="202"/>
        <item x="138"/>
        <item x="207"/>
        <item x="270"/>
        <item x="326"/>
        <item x="51"/>
        <item x="142"/>
        <item x="94"/>
        <item x="120"/>
        <item x="337"/>
        <item x="305"/>
        <item x="152"/>
        <item x="204"/>
        <item x="276"/>
        <item x="235"/>
        <item x="250"/>
        <item x="92"/>
        <item x="18"/>
        <item x="268"/>
        <item x="343"/>
        <item x="237"/>
        <item x="341"/>
        <item x="3"/>
        <item x="241"/>
        <item x="254"/>
        <item x="339"/>
        <item x="19"/>
        <item x="279"/>
        <item x="143"/>
        <item x="79"/>
        <item x="325"/>
        <item x="157"/>
        <item x="224"/>
        <item x="236"/>
        <item x="159"/>
        <item x="108"/>
        <item x="192"/>
        <item x="6"/>
        <item x="26"/>
        <item x="73"/>
        <item x="110"/>
        <item x="342"/>
        <item x="34"/>
        <item x="172"/>
        <item x="137"/>
        <item x="134"/>
        <item x="116"/>
        <item x="158"/>
        <item x="48"/>
        <item x="99"/>
        <item x="319"/>
        <item x="40"/>
        <item x="232"/>
        <item x="129"/>
        <item x="1"/>
        <item x="186"/>
        <item x="269"/>
        <item x="197"/>
        <item x="35"/>
        <item x="52"/>
        <item x="318"/>
        <item x="298"/>
        <item x="277"/>
        <item x="221"/>
        <item x="104"/>
        <item x="121"/>
        <item x="200"/>
        <item x="255"/>
        <item x="177"/>
        <item x="294"/>
        <item x="173"/>
        <item x="301"/>
        <item x="182"/>
        <item x="187"/>
        <item x="125"/>
        <item x="17"/>
        <item x="281"/>
        <item x="191"/>
        <item x="217"/>
        <item x="83"/>
        <item x="147"/>
        <item x="53"/>
        <item x="267"/>
        <item x="210"/>
        <item x="335"/>
        <item x="316"/>
        <item x="234"/>
        <item x="103"/>
        <item x="164"/>
        <item x="60"/>
        <item x="65"/>
        <item x="22"/>
        <item x="233"/>
        <item x="209"/>
        <item x="117"/>
        <item x="150"/>
        <item x="69"/>
        <item x="165"/>
        <item x="195"/>
        <item x="215"/>
        <item x="49"/>
        <item x="163"/>
        <item x="141"/>
        <item x="292"/>
        <item x="2"/>
        <item x="77"/>
        <item x="300"/>
        <item x="21"/>
        <item x="124"/>
        <item x="311"/>
        <item x="274"/>
        <item x="208"/>
        <item x="169"/>
        <item x="41"/>
        <item x="133"/>
        <item x="14"/>
        <item x="119"/>
        <item x="136"/>
        <item x="27"/>
        <item x="89"/>
        <item x="160"/>
        <item x="127"/>
        <item x="36"/>
        <item x="76"/>
        <item x="345"/>
        <item x="25"/>
        <item x="214"/>
        <item x="38"/>
        <item x="45"/>
        <item x="5"/>
        <item x="50"/>
        <item x="291"/>
        <item x="260"/>
        <item x="320"/>
        <item x="256"/>
        <item x="240"/>
        <item x="30"/>
        <item x="198"/>
        <item x="344"/>
        <item x="58"/>
        <item x="266"/>
        <item x="302"/>
        <item x="278"/>
        <item x="131"/>
        <item x="106"/>
        <item x="194"/>
        <item x="264"/>
        <item x="280"/>
        <item x="296"/>
        <item x="23"/>
        <item x="61"/>
        <item x="275"/>
        <item x="180"/>
        <item x="230"/>
        <item x="245"/>
        <item x="193"/>
        <item x="323"/>
        <item x="271"/>
        <item x="282"/>
        <item x="340"/>
        <item x="93"/>
        <item x="126"/>
        <item x="201"/>
        <item x="330"/>
        <item x="64"/>
        <item x="62"/>
        <item x="183"/>
        <item x="257"/>
        <item x="167"/>
        <item x="63"/>
        <item x="346"/>
        <item x="243"/>
        <item x="313"/>
        <item x="75"/>
        <item x="252"/>
        <item x="156"/>
        <item x="212"/>
        <item x="170"/>
        <item x="57"/>
        <item x="229"/>
        <item x="196"/>
        <item x="334"/>
        <item x="317"/>
        <item x="309"/>
        <item x="148"/>
        <item x="145"/>
        <item x="114"/>
        <item x="12"/>
        <item x="307"/>
        <item x="211"/>
        <item x="262"/>
        <item x="70"/>
        <item x="113"/>
        <item x="9"/>
        <item x="155"/>
        <item x="78"/>
        <item x="24"/>
        <item x="258"/>
        <item x="82"/>
        <item x="238"/>
        <item x="55"/>
        <item x="112"/>
        <item x="101"/>
        <item x="181"/>
        <item x="347"/>
        <item x="329"/>
        <item x="259"/>
        <item x="33"/>
        <item x="205"/>
        <item x="199"/>
        <item x="251"/>
        <item x="31"/>
        <item x="43"/>
        <item x="327"/>
        <item x="247"/>
        <item x="168"/>
        <item x="175"/>
        <item x="153"/>
        <item x="333"/>
        <item x="285"/>
        <item x="303"/>
        <item x="96"/>
        <item x="261"/>
        <item x="144"/>
        <item x="100"/>
        <item x="324"/>
        <item x="321"/>
        <item x="146"/>
        <item x="54"/>
        <item x="161"/>
        <item x="135"/>
        <item x="295"/>
        <item x="174"/>
        <item x="179"/>
        <item x="71"/>
        <item x="213"/>
        <item x="11"/>
        <item x="312"/>
        <item x="67"/>
        <item x="8"/>
        <item x="253"/>
        <item x="154"/>
        <item x="105"/>
        <item x="222"/>
        <item x="338"/>
        <item x="288"/>
        <item x="16"/>
        <item x="139"/>
        <item x="185"/>
        <item x="107"/>
        <item x="239"/>
        <item x="118"/>
        <item x="66"/>
        <item x="39"/>
        <item x="86"/>
        <item x="203"/>
        <item x="218"/>
        <item x="122"/>
        <item x="28"/>
        <item x="95"/>
        <item x="37"/>
        <item x="130"/>
        <item x="308"/>
        <item x="162"/>
        <item x="265"/>
        <item x="84"/>
        <item x="13"/>
        <item x="189"/>
        <item x="289"/>
        <item t="default"/>
      </items>
    </pivotField>
    <pivotField name="End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t="default"/>
      </items>
    </pivotField>
    <pivotField name="Channel" compact="0" outline="0" multipleItemSelectionAllowed="1" showAll="0">
      <items>
        <item x="0"/>
        <item x="1"/>
        <item x="2"/>
        <item t="default"/>
      </items>
    </pivotField>
    <pivotField name="Spend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t="default"/>
      </items>
    </pivotField>
    <pivotField name="LeadsGenerate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t="default"/>
      </items>
    </pivotField>
    <pivotField name="Conversion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t="default"/>
      </items>
    </pivotField>
    <pivotField name="RevenueGenerated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t="default"/>
      </items>
    </pivotField>
    <pivotField name="Click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t="default"/>
      </items>
    </pivotField>
    <pivotField name="Impression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t="default"/>
      </items>
    </pivotField>
    <pivotField name="Date" compact="0" outline="0" multipleItemSelectionAllowed="1" showAll="0">
      <items>
        <item x="0"/>
        <item t="default"/>
      </items>
    </pivotField>
    <pivotField name="ROI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t="default"/>
      </items>
    </pivotField>
    <pivotField name="CPA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t="default"/>
      </items>
    </pivotField>
  </pivotFields>
  <rowFields>
    <field x="2"/>
  </rowFields>
  <colFields>
    <field x="-2"/>
  </colFields>
  <dataFields>
    <dataField name=" Spend" fld="5" baseField="0"/>
    <dataField name="Revenue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pivotTable" Target="../pivotTables/pivotTable11.xml"/><Relationship Id="rId10" Type="http://schemas.openxmlformats.org/officeDocument/2006/relationships/pivotTable" Target="../pivotTables/pivotTable10.xml"/><Relationship Id="rId13" Type="http://schemas.openxmlformats.org/officeDocument/2006/relationships/pivotTable" Target="../pivotTables/pivotTable13.xml"/><Relationship Id="rId12" Type="http://schemas.openxmlformats.org/officeDocument/2006/relationships/pivotTable" Target="../pivotTables/pivotTable12.xml"/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5" t="s">
        <v>10</v>
      </c>
      <c r="L1" s="2" t="s">
        <v>11</v>
      </c>
      <c r="M1" s="7" t="s">
        <v>12</v>
      </c>
      <c r="N1" s="8" t="s">
        <v>13</v>
      </c>
    </row>
    <row r="2" ht="15.75" customHeight="1">
      <c r="A2" s="9" t="s">
        <v>14</v>
      </c>
      <c r="B2" s="10" t="s">
        <v>15</v>
      </c>
      <c r="C2" s="11">
        <v>45851.0</v>
      </c>
      <c r="D2" s="11">
        <v>45901.0</v>
      </c>
      <c r="E2" s="10" t="s">
        <v>16</v>
      </c>
      <c r="F2" s="12">
        <v>25024.0</v>
      </c>
      <c r="G2" s="13">
        <v>4436.0</v>
      </c>
      <c r="H2" s="13">
        <v>363.0</v>
      </c>
      <c r="I2" s="14">
        <v>141214.1</v>
      </c>
      <c r="J2" s="13">
        <v>39128.0</v>
      </c>
      <c r="K2" s="13">
        <v>978200.0</v>
      </c>
      <c r="L2" s="10" t="s">
        <v>17</v>
      </c>
      <c r="M2" s="15">
        <f t="shared" ref="M2:M1128" si="1">(I2-F2)/F2</f>
        <v>4.643146579</v>
      </c>
      <c r="N2" s="16">
        <f t="shared" ref="N2:N452" si="2">F2/H2</f>
        <v>68.93663912</v>
      </c>
    </row>
    <row r="3" ht="15.75" customHeight="1">
      <c r="A3" s="9" t="s">
        <v>18</v>
      </c>
      <c r="B3" s="10" t="s">
        <v>19</v>
      </c>
      <c r="C3" s="11">
        <v>45981.0</v>
      </c>
      <c r="D3" s="11">
        <v>46035.0</v>
      </c>
      <c r="E3" s="10" t="s">
        <v>16</v>
      </c>
      <c r="F3" s="12">
        <v>27425.0</v>
      </c>
      <c r="G3" s="13">
        <v>689.0</v>
      </c>
      <c r="H3" s="13">
        <v>102.0</v>
      </c>
      <c r="I3" s="14">
        <v>8938.48</v>
      </c>
      <c r="J3" s="13">
        <v>11255.0</v>
      </c>
      <c r="K3" s="13">
        <v>213845.0</v>
      </c>
      <c r="L3" s="10" t="s">
        <v>17</v>
      </c>
      <c r="M3" s="15">
        <f t="shared" si="1"/>
        <v>-0.6740754786</v>
      </c>
      <c r="N3" s="16">
        <f t="shared" si="2"/>
        <v>268.872549</v>
      </c>
      <c r="P3" s="17" t="s">
        <v>20</v>
      </c>
      <c r="Q3" s="17" t="s">
        <v>21</v>
      </c>
      <c r="R3" s="17" t="s">
        <v>22</v>
      </c>
      <c r="S3" s="17" t="s">
        <v>23</v>
      </c>
    </row>
    <row r="4" ht="15.75" customHeight="1">
      <c r="A4" s="9" t="s">
        <v>24</v>
      </c>
      <c r="B4" s="10" t="s">
        <v>25</v>
      </c>
      <c r="C4" s="11">
        <v>46032.0</v>
      </c>
      <c r="D4" s="11">
        <v>46040.0</v>
      </c>
      <c r="E4" s="10" t="s">
        <v>26</v>
      </c>
      <c r="F4" s="12">
        <v>20589.0</v>
      </c>
      <c r="G4" s="13">
        <v>1133.0</v>
      </c>
      <c r="H4" s="13">
        <v>42.0</v>
      </c>
      <c r="I4" s="14">
        <v>2376.64</v>
      </c>
      <c r="J4" s="13">
        <v>30403.0</v>
      </c>
      <c r="K4" s="13">
        <v>334433.0</v>
      </c>
      <c r="L4" s="10" t="s">
        <v>17</v>
      </c>
      <c r="M4" s="15">
        <f t="shared" si="1"/>
        <v>-0.8845674875</v>
      </c>
      <c r="N4" s="16">
        <f t="shared" si="2"/>
        <v>490.2142857</v>
      </c>
      <c r="P4" s="18">
        <f>SUM(I:I)</f>
        <v>27463004.7</v>
      </c>
      <c r="Q4" s="19">
        <f>SUM(F:F)</f>
        <v>19853884</v>
      </c>
      <c r="R4" s="20">
        <f>AVERAGE(M:M)</f>
        <v>0.7652907421</v>
      </c>
      <c r="S4" s="17">
        <f>COUNTA(A:A)</f>
        <v>1128</v>
      </c>
    </row>
    <row r="5" ht="15.75" customHeight="1">
      <c r="A5" s="9" t="s">
        <v>27</v>
      </c>
      <c r="B5" s="10" t="s">
        <v>28</v>
      </c>
      <c r="C5" s="11">
        <v>45946.0</v>
      </c>
      <c r="D5" s="11">
        <v>45991.0</v>
      </c>
      <c r="E5" s="10" t="s">
        <v>26</v>
      </c>
      <c r="F5" s="12">
        <v>11248.0</v>
      </c>
      <c r="G5" s="13">
        <v>2187.0</v>
      </c>
      <c r="H5" s="13">
        <v>135.0</v>
      </c>
      <c r="I5" s="14">
        <v>21437.18</v>
      </c>
      <c r="J5" s="13">
        <v>15839.0</v>
      </c>
      <c r="K5" s="13">
        <v>475170.0</v>
      </c>
      <c r="L5" s="10" t="s">
        <v>17</v>
      </c>
      <c r="M5" s="15">
        <f t="shared" si="1"/>
        <v>0.9058659317</v>
      </c>
      <c r="N5" s="16">
        <f t="shared" si="2"/>
        <v>83.31851852</v>
      </c>
    </row>
    <row r="6" ht="15.75" customHeight="1">
      <c r="A6" s="9" t="s">
        <v>29</v>
      </c>
      <c r="B6" s="10" t="s">
        <v>30</v>
      </c>
      <c r="C6" s="11">
        <v>45855.0</v>
      </c>
      <c r="D6" s="11">
        <v>45909.0</v>
      </c>
      <c r="E6" s="10" t="s">
        <v>26</v>
      </c>
      <c r="F6" s="12">
        <v>12836.0</v>
      </c>
      <c r="G6" s="13">
        <v>689.0</v>
      </c>
      <c r="H6" s="13">
        <v>30.0</v>
      </c>
      <c r="I6" s="14">
        <v>24637.21</v>
      </c>
      <c r="J6" s="13">
        <v>37784.0</v>
      </c>
      <c r="K6" s="13">
        <v>453408.0</v>
      </c>
      <c r="L6" s="10" t="s">
        <v>17</v>
      </c>
      <c r="M6" s="15">
        <f t="shared" si="1"/>
        <v>0.9193837644</v>
      </c>
      <c r="N6" s="16">
        <f t="shared" si="2"/>
        <v>427.8666667</v>
      </c>
      <c r="P6" s="10" t="s">
        <v>31</v>
      </c>
      <c r="Q6" s="10" t="s">
        <v>32</v>
      </c>
      <c r="R6" s="10" t="s">
        <v>33</v>
      </c>
    </row>
    <row r="7" ht="15.75" customHeight="1">
      <c r="A7" s="9" t="s">
        <v>34</v>
      </c>
      <c r="B7" s="10" t="s">
        <v>19</v>
      </c>
      <c r="C7" s="11">
        <v>46058.0</v>
      </c>
      <c r="D7" s="11">
        <v>46118.0</v>
      </c>
      <c r="E7" s="10" t="s">
        <v>35</v>
      </c>
      <c r="F7" s="12">
        <v>24071.0</v>
      </c>
      <c r="G7" s="13">
        <v>655.0</v>
      </c>
      <c r="H7" s="13">
        <v>112.0</v>
      </c>
      <c r="I7" s="14">
        <v>15954.76</v>
      </c>
      <c r="J7" s="13">
        <v>8157.0</v>
      </c>
      <c r="K7" s="13">
        <v>220239.0</v>
      </c>
      <c r="L7" s="10" t="s">
        <v>17</v>
      </c>
      <c r="M7" s="15">
        <f t="shared" si="1"/>
        <v>-0.3371791783</v>
      </c>
      <c r="N7" s="16">
        <f t="shared" si="2"/>
        <v>214.9196429</v>
      </c>
      <c r="P7" s="13">
        <f t="shared" ref="P7:Q7" si="3">SUM(G:G)</f>
        <v>1876474</v>
      </c>
      <c r="Q7" s="13">
        <f t="shared" si="3"/>
        <v>197185</v>
      </c>
      <c r="R7" s="21">
        <f>AVERAGE(N:N)</f>
        <v>190.7811609</v>
      </c>
    </row>
    <row r="8" ht="15.75" customHeight="1">
      <c r="A8" s="9" t="s">
        <v>36</v>
      </c>
      <c r="B8" s="10" t="s">
        <v>19</v>
      </c>
      <c r="C8" s="11">
        <v>45962.0</v>
      </c>
      <c r="D8" s="11">
        <v>46021.0</v>
      </c>
      <c r="E8" s="10" t="s">
        <v>26</v>
      </c>
      <c r="F8" s="12">
        <v>21091.0</v>
      </c>
      <c r="G8" s="13">
        <v>1791.0</v>
      </c>
      <c r="H8" s="13">
        <v>137.0</v>
      </c>
      <c r="I8" s="14">
        <v>8720.33</v>
      </c>
      <c r="J8" s="13">
        <v>60021.0</v>
      </c>
      <c r="K8" s="13">
        <v>960336.0</v>
      </c>
      <c r="L8" s="10" t="s">
        <v>17</v>
      </c>
      <c r="M8" s="15">
        <f t="shared" si="1"/>
        <v>-0.5865378598</v>
      </c>
      <c r="N8" s="16">
        <f t="shared" si="2"/>
        <v>153.9489051</v>
      </c>
    </row>
    <row r="9" ht="15.75" customHeight="1">
      <c r="A9" s="9" t="s">
        <v>37</v>
      </c>
      <c r="B9" s="10" t="s">
        <v>38</v>
      </c>
      <c r="C9" s="11">
        <v>45855.0</v>
      </c>
      <c r="D9" s="11">
        <v>45913.0</v>
      </c>
      <c r="E9" s="10" t="s">
        <v>26</v>
      </c>
      <c r="F9" s="12">
        <v>13327.0</v>
      </c>
      <c r="G9" s="13">
        <v>906.0</v>
      </c>
      <c r="H9" s="13">
        <v>21.0</v>
      </c>
      <c r="I9" s="14">
        <v>585.57</v>
      </c>
      <c r="J9" s="13">
        <v>30096.0</v>
      </c>
      <c r="K9" s="13">
        <v>632016.0</v>
      </c>
      <c r="L9" s="10" t="s">
        <v>17</v>
      </c>
      <c r="M9" s="15">
        <f t="shared" si="1"/>
        <v>-0.9560613792</v>
      </c>
      <c r="N9" s="16">
        <f t="shared" si="2"/>
        <v>634.6190476</v>
      </c>
    </row>
    <row r="10" ht="15.75" customHeight="1">
      <c r="A10" s="9" t="s">
        <v>39</v>
      </c>
      <c r="B10" s="10" t="s">
        <v>19</v>
      </c>
      <c r="C10" s="11">
        <v>45866.0</v>
      </c>
      <c r="D10" s="11">
        <v>45912.0</v>
      </c>
      <c r="E10" s="10" t="s">
        <v>16</v>
      </c>
      <c r="F10" s="12">
        <v>49824.0</v>
      </c>
      <c r="G10" s="13">
        <v>4771.0</v>
      </c>
      <c r="H10" s="13">
        <v>848.0</v>
      </c>
      <c r="I10" s="14">
        <v>99208.55</v>
      </c>
      <c r="J10" s="13">
        <v>83259.0</v>
      </c>
      <c r="K10" s="13">
        <v>1332144.0</v>
      </c>
      <c r="L10" s="10" t="s">
        <v>17</v>
      </c>
      <c r="M10" s="15">
        <f t="shared" si="1"/>
        <v>0.9911799534</v>
      </c>
      <c r="N10" s="16">
        <f t="shared" si="2"/>
        <v>58.75471698</v>
      </c>
    </row>
    <row r="11" ht="15.75" customHeight="1">
      <c r="A11" s="9" t="s">
        <v>40</v>
      </c>
      <c r="B11" s="10" t="s">
        <v>38</v>
      </c>
      <c r="C11" s="11">
        <v>46172.0</v>
      </c>
      <c r="D11" s="11">
        <v>46209.0</v>
      </c>
      <c r="E11" s="10" t="s">
        <v>26</v>
      </c>
      <c r="F11" s="12">
        <v>2983.0</v>
      </c>
      <c r="G11" s="13">
        <v>169.0</v>
      </c>
      <c r="H11" s="13">
        <v>13.0</v>
      </c>
      <c r="I11" s="14">
        <v>984.77</v>
      </c>
      <c r="J11" s="13">
        <v>3485.0</v>
      </c>
      <c r="K11" s="13">
        <v>69700.0</v>
      </c>
      <c r="L11" s="10" t="s">
        <v>17</v>
      </c>
      <c r="M11" s="15">
        <f t="shared" si="1"/>
        <v>-0.6698726115</v>
      </c>
      <c r="N11" s="16">
        <f t="shared" si="2"/>
        <v>229.4615385</v>
      </c>
    </row>
    <row r="12" ht="15.75" customHeight="1">
      <c r="A12" s="9" t="s">
        <v>41</v>
      </c>
      <c r="B12" s="10" t="s">
        <v>25</v>
      </c>
      <c r="C12" s="11">
        <v>46123.0</v>
      </c>
      <c r="D12" s="11">
        <v>46168.0</v>
      </c>
      <c r="E12" s="10" t="s">
        <v>35</v>
      </c>
      <c r="F12" s="12">
        <v>4786.0</v>
      </c>
      <c r="G12" s="13">
        <v>245.0</v>
      </c>
      <c r="H12" s="13">
        <v>32.0</v>
      </c>
      <c r="I12" s="14">
        <v>2779.91</v>
      </c>
      <c r="J12" s="13">
        <v>18853.0</v>
      </c>
      <c r="K12" s="13">
        <v>452472.0</v>
      </c>
      <c r="L12" s="10" t="s">
        <v>17</v>
      </c>
      <c r="M12" s="15">
        <f t="shared" si="1"/>
        <v>-0.4191579607</v>
      </c>
      <c r="N12" s="16">
        <f t="shared" si="2"/>
        <v>149.5625</v>
      </c>
    </row>
    <row r="13" ht="15.75" customHeight="1">
      <c r="A13" s="9" t="s">
        <v>42</v>
      </c>
      <c r="B13" s="10" t="s">
        <v>38</v>
      </c>
      <c r="C13" s="11">
        <v>45873.0</v>
      </c>
      <c r="D13" s="11">
        <v>45919.0</v>
      </c>
      <c r="E13" s="10" t="s">
        <v>26</v>
      </c>
      <c r="F13" s="12">
        <v>10207.0</v>
      </c>
      <c r="G13" s="13">
        <v>778.0</v>
      </c>
      <c r="H13" s="13">
        <v>34.0</v>
      </c>
      <c r="I13" s="14">
        <v>4356.92</v>
      </c>
      <c r="J13" s="13">
        <v>11800.0</v>
      </c>
      <c r="K13" s="13">
        <v>188800.0</v>
      </c>
      <c r="L13" s="10" t="s">
        <v>17</v>
      </c>
      <c r="M13" s="15">
        <f t="shared" si="1"/>
        <v>-0.5731439208</v>
      </c>
      <c r="N13" s="16">
        <f t="shared" si="2"/>
        <v>300.2058824</v>
      </c>
    </row>
    <row r="14" ht="15.75" customHeight="1">
      <c r="A14" s="9" t="s">
        <v>43</v>
      </c>
      <c r="B14" s="10" t="s">
        <v>25</v>
      </c>
      <c r="C14" s="11">
        <v>46169.0</v>
      </c>
      <c r="D14" s="11">
        <v>46191.0</v>
      </c>
      <c r="E14" s="10" t="s">
        <v>26</v>
      </c>
      <c r="F14" s="12">
        <v>17482.0</v>
      </c>
      <c r="G14" s="13">
        <v>3387.0</v>
      </c>
      <c r="H14" s="13">
        <v>131.0</v>
      </c>
      <c r="I14" s="14">
        <v>18953.68</v>
      </c>
      <c r="J14" s="13">
        <v>23274.0</v>
      </c>
      <c r="K14" s="13">
        <v>442206.0</v>
      </c>
      <c r="L14" s="10" t="s">
        <v>17</v>
      </c>
      <c r="M14" s="15">
        <f t="shared" si="1"/>
        <v>0.0841825878</v>
      </c>
      <c r="N14" s="16">
        <f t="shared" si="2"/>
        <v>133.4503817</v>
      </c>
    </row>
    <row r="15" ht="15.75" customHeight="1">
      <c r="A15" s="9" t="s">
        <v>44</v>
      </c>
      <c r="B15" s="10" t="s">
        <v>30</v>
      </c>
      <c r="C15" s="11">
        <v>46117.0</v>
      </c>
      <c r="D15" s="11">
        <v>46165.0</v>
      </c>
      <c r="E15" s="10" t="s">
        <v>16</v>
      </c>
      <c r="F15" s="12">
        <v>26825.0</v>
      </c>
      <c r="G15" s="13">
        <v>1854.0</v>
      </c>
      <c r="H15" s="13">
        <v>240.0</v>
      </c>
      <c r="I15" s="14">
        <v>12722.17</v>
      </c>
      <c r="J15" s="13">
        <v>18036.0</v>
      </c>
      <c r="K15" s="13">
        <v>198396.0</v>
      </c>
      <c r="L15" s="10" t="s">
        <v>17</v>
      </c>
      <c r="M15" s="15">
        <f t="shared" si="1"/>
        <v>-0.525734576</v>
      </c>
      <c r="N15" s="16">
        <f t="shared" si="2"/>
        <v>111.7708333</v>
      </c>
    </row>
    <row r="16" ht="15.75" customHeight="1">
      <c r="A16" s="9" t="s">
        <v>45</v>
      </c>
      <c r="B16" s="10" t="s">
        <v>28</v>
      </c>
      <c r="C16" s="11">
        <v>46200.0</v>
      </c>
      <c r="D16" s="11">
        <v>46230.0</v>
      </c>
      <c r="E16" s="10" t="s">
        <v>16</v>
      </c>
      <c r="F16" s="12">
        <v>43759.0</v>
      </c>
      <c r="G16" s="13">
        <v>2413.0</v>
      </c>
      <c r="H16" s="13">
        <v>123.0</v>
      </c>
      <c r="I16" s="14">
        <v>25400.85</v>
      </c>
      <c r="J16" s="13">
        <v>76070.0</v>
      </c>
      <c r="K16" s="13">
        <v>1293190.0</v>
      </c>
      <c r="L16" s="10" t="s">
        <v>17</v>
      </c>
      <c r="M16" s="15">
        <f t="shared" si="1"/>
        <v>-0.4195285541</v>
      </c>
      <c r="N16" s="16">
        <f t="shared" si="2"/>
        <v>355.7642276</v>
      </c>
    </row>
    <row r="17" ht="15.75" customHeight="1">
      <c r="A17" s="9" t="s">
        <v>46</v>
      </c>
      <c r="B17" s="10" t="s">
        <v>47</v>
      </c>
      <c r="C17" s="11">
        <v>46043.0</v>
      </c>
      <c r="D17" s="11">
        <v>46089.0</v>
      </c>
      <c r="E17" s="10" t="s">
        <v>16</v>
      </c>
      <c r="F17" s="12">
        <v>42141.0</v>
      </c>
      <c r="G17" s="13">
        <v>2336.0</v>
      </c>
      <c r="H17" s="13">
        <v>217.0</v>
      </c>
      <c r="I17" s="14">
        <v>65574.09</v>
      </c>
      <c r="J17" s="13">
        <v>79872.0</v>
      </c>
      <c r="K17" s="13">
        <v>1677312.0</v>
      </c>
      <c r="L17" s="10" t="s">
        <v>17</v>
      </c>
      <c r="M17" s="15">
        <f t="shared" si="1"/>
        <v>0.5560639282</v>
      </c>
      <c r="N17" s="16">
        <f t="shared" si="2"/>
        <v>194.1981567</v>
      </c>
    </row>
    <row r="18" ht="15.75" customHeight="1">
      <c r="A18" s="9" t="s">
        <v>48</v>
      </c>
      <c r="B18" s="10" t="s">
        <v>30</v>
      </c>
      <c r="C18" s="11">
        <v>45861.0</v>
      </c>
      <c r="D18" s="11">
        <v>45909.0</v>
      </c>
      <c r="E18" s="10" t="s">
        <v>26</v>
      </c>
      <c r="F18" s="12">
        <v>16788.0</v>
      </c>
      <c r="G18" s="13">
        <v>1330.0</v>
      </c>
      <c r="H18" s="13">
        <v>26.0</v>
      </c>
      <c r="I18" s="14">
        <v>4778.12</v>
      </c>
      <c r="J18" s="13">
        <v>19627.0</v>
      </c>
      <c r="K18" s="13">
        <v>353286.0</v>
      </c>
      <c r="L18" s="10" t="s">
        <v>17</v>
      </c>
      <c r="M18" s="15">
        <f t="shared" si="1"/>
        <v>-0.7153847987</v>
      </c>
      <c r="N18" s="16">
        <f t="shared" si="2"/>
        <v>645.6923077</v>
      </c>
    </row>
    <row r="19" ht="15.75" customHeight="1">
      <c r="A19" s="9" t="s">
        <v>49</v>
      </c>
      <c r="B19" s="10" t="s">
        <v>47</v>
      </c>
      <c r="C19" s="11">
        <v>46180.0</v>
      </c>
      <c r="D19" s="11">
        <v>46209.0</v>
      </c>
      <c r="E19" s="10" t="s">
        <v>16</v>
      </c>
      <c r="F19" s="12">
        <v>28376.0</v>
      </c>
      <c r="G19" s="13">
        <v>4700.0</v>
      </c>
      <c r="H19" s="13">
        <v>480.0</v>
      </c>
      <c r="I19" s="14">
        <v>64897.02</v>
      </c>
      <c r="J19" s="13">
        <v>35663.0</v>
      </c>
      <c r="K19" s="13">
        <v>891575.0</v>
      </c>
      <c r="L19" s="10" t="s">
        <v>17</v>
      </c>
      <c r="M19" s="15">
        <f t="shared" si="1"/>
        <v>1.287039047</v>
      </c>
      <c r="N19" s="16">
        <f t="shared" si="2"/>
        <v>59.11666667</v>
      </c>
    </row>
    <row r="20" ht="15.75" customHeight="1">
      <c r="A20" s="9" t="s">
        <v>50</v>
      </c>
      <c r="B20" s="10" t="s">
        <v>30</v>
      </c>
      <c r="C20" s="11">
        <v>46003.0</v>
      </c>
      <c r="D20" s="11">
        <v>46035.0</v>
      </c>
      <c r="E20" s="10" t="s">
        <v>16</v>
      </c>
      <c r="F20" s="12">
        <v>35952.0</v>
      </c>
      <c r="G20" s="13">
        <v>3107.0</v>
      </c>
      <c r="H20" s="13">
        <v>333.0</v>
      </c>
      <c r="I20" s="14">
        <v>73453.51</v>
      </c>
      <c r="J20" s="13">
        <v>50374.0</v>
      </c>
      <c r="K20" s="13">
        <v>906732.0</v>
      </c>
      <c r="L20" s="10" t="s">
        <v>17</v>
      </c>
      <c r="M20" s="15">
        <f t="shared" si="1"/>
        <v>1.04309941</v>
      </c>
      <c r="N20" s="16">
        <f t="shared" si="2"/>
        <v>107.963964</v>
      </c>
    </row>
    <row r="21" ht="15.75" customHeight="1">
      <c r="A21" s="9" t="s">
        <v>51</v>
      </c>
      <c r="B21" s="10" t="s">
        <v>52</v>
      </c>
      <c r="C21" s="11">
        <v>45940.0</v>
      </c>
      <c r="D21" s="11">
        <v>45952.0</v>
      </c>
      <c r="E21" s="10" t="s">
        <v>26</v>
      </c>
      <c r="F21" s="12">
        <v>3300.0</v>
      </c>
      <c r="G21" s="13">
        <v>239.0</v>
      </c>
      <c r="H21" s="13">
        <v>5.0</v>
      </c>
      <c r="I21" s="14">
        <v>4890.46</v>
      </c>
      <c r="J21" s="13">
        <v>3706.0</v>
      </c>
      <c r="K21" s="13">
        <v>74120.0</v>
      </c>
      <c r="L21" s="10" t="s">
        <v>17</v>
      </c>
      <c r="M21" s="15">
        <f t="shared" si="1"/>
        <v>0.4819575758</v>
      </c>
      <c r="N21" s="16">
        <f t="shared" si="2"/>
        <v>660</v>
      </c>
    </row>
    <row r="22" ht="15.75" customHeight="1">
      <c r="A22" s="9" t="s">
        <v>53</v>
      </c>
      <c r="B22" s="10" t="s">
        <v>19</v>
      </c>
      <c r="C22" s="11">
        <v>45951.0</v>
      </c>
      <c r="D22" s="11">
        <v>45965.0</v>
      </c>
      <c r="E22" s="10" t="s">
        <v>35</v>
      </c>
      <c r="F22" s="12">
        <v>24605.0</v>
      </c>
      <c r="G22" s="13">
        <v>262.0</v>
      </c>
      <c r="H22" s="13">
        <v>28.0</v>
      </c>
      <c r="I22" s="14">
        <v>3841.92</v>
      </c>
      <c r="J22" s="13">
        <v>19412.0</v>
      </c>
      <c r="K22" s="13">
        <v>427064.0</v>
      </c>
      <c r="L22" s="10" t="s">
        <v>17</v>
      </c>
      <c r="M22" s="15">
        <f t="shared" si="1"/>
        <v>-0.8438561268</v>
      </c>
      <c r="N22" s="16">
        <f t="shared" si="2"/>
        <v>878.75</v>
      </c>
    </row>
    <row r="23" ht="15.75" customHeight="1">
      <c r="A23" s="9" t="s">
        <v>54</v>
      </c>
      <c r="B23" s="10" t="s">
        <v>25</v>
      </c>
      <c r="C23" s="11">
        <v>45920.0</v>
      </c>
      <c r="D23" s="11">
        <v>45970.0</v>
      </c>
      <c r="E23" s="10" t="s">
        <v>16</v>
      </c>
      <c r="F23" s="12">
        <v>38108.0</v>
      </c>
      <c r="G23" s="13">
        <v>2185.0</v>
      </c>
      <c r="H23" s="13">
        <v>237.0</v>
      </c>
      <c r="I23" s="14">
        <v>24376.5</v>
      </c>
      <c r="J23" s="13">
        <v>30443.0</v>
      </c>
      <c r="K23" s="13">
        <v>456645.0</v>
      </c>
      <c r="L23" s="10" t="s">
        <v>17</v>
      </c>
      <c r="M23" s="15">
        <f t="shared" si="1"/>
        <v>-0.3603311641</v>
      </c>
      <c r="N23" s="16">
        <f t="shared" si="2"/>
        <v>160.7932489</v>
      </c>
    </row>
    <row r="24" ht="15.75" customHeight="1">
      <c r="A24" s="9" t="s">
        <v>55</v>
      </c>
      <c r="B24" s="10" t="s">
        <v>56</v>
      </c>
      <c r="C24" s="11">
        <v>46035.0</v>
      </c>
      <c r="D24" s="11">
        <v>46082.0</v>
      </c>
      <c r="E24" s="10" t="s">
        <v>26</v>
      </c>
      <c r="F24" s="12">
        <v>37507.0</v>
      </c>
      <c r="G24" s="13">
        <v>713.0</v>
      </c>
      <c r="H24" s="13">
        <v>44.0</v>
      </c>
      <c r="I24" s="14">
        <v>6065.76</v>
      </c>
      <c r="J24" s="13">
        <v>22174.0</v>
      </c>
      <c r="K24" s="13">
        <v>665220.0</v>
      </c>
      <c r="L24" s="10" t="s">
        <v>17</v>
      </c>
      <c r="M24" s="15">
        <f t="shared" si="1"/>
        <v>-0.8382765884</v>
      </c>
      <c r="N24" s="16">
        <f t="shared" si="2"/>
        <v>852.4318182</v>
      </c>
    </row>
    <row r="25" ht="15.75" customHeight="1">
      <c r="A25" s="9" t="s">
        <v>57</v>
      </c>
      <c r="B25" s="10" t="s">
        <v>58</v>
      </c>
      <c r="C25" s="11">
        <v>46019.0</v>
      </c>
      <c r="D25" s="11">
        <v>46041.0</v>
      </c>
      <c r="E25" s="10" t="s">
        <v>26</v>
      </c>
      <c r="F25" s="12">
        <v>15279.0</v>
      </c>
      <c r="G25" s="13">
        <v>1427.0</v>
      </c>
      <c r="H25" s="13">
        <v>101.0</v>
      </c>
      <c r="I25" s="14">
        <v>18087.77</v>
      </c>
      <c r="J25" s="13">
        <v>17520.0</v>
      </c>
      <c r="K25" s="13">
        <v>140160.0</v>
      </c>
      <c r="L25" s="10" t="s">
        <v>17</v>
      </c>
      <c r="M25" s="15">
        <f t="shared" si="1"/>
        <v>0.1838320571</v>
      </c>
      <c r="N25" s="16">
        <f t="shared" si="2"/>
        <v>151.2772277</v>
      </c>
    </row>
    <row r="26" ht="15.75" customHeight="1">
      <c r="A26" s="9" t="s">
        <v>59</v>
      </c>
      <c r="B26" s="10" t="s">
        <v>38</v>
      </c>
      <c r="C26" s="11">
        <v>46078.0</v>
      </c>
      <c r="D26" s="11">
        <v>46089.0</v>
      </c>
      <c r="E26" s="10" t="s">
        <v>26</v>
      </c>
      <c r="F26" s="12">
        <v>22890.0</v>
      </c>
      <c r="G26" s="13">
        <v>1699.0</v>
      </c>
      <c r="H26" s="13">
        <v>88.0</v>
      </c>
      <c r="I26" s="14">
        <v>2570.25</v>
      </c>
      <c r="J26" s="13">
        <v>27115.0</v>
      </c>
      <c r="K26" s="13">
        <v>488070.0</v>
      </c>
      <c r="L26" s="10" t="s">
        <v>17</v>
      </c>
      <c r="M26" s="15">
        <f t="shared" si="1"/>
        <v>-0.8877129751</v>
      </c>
      <c r="N26" s="16">
        <f t="shared" si="2"/>
        <v>260.1136364</v>
      </c>
    </row>
    <row r="27" ht="15.75" customHeight="1">
      <c r="A27" s="9" t="s">
        <v>60</v>
      </c>
      <c r="B27" s="10" t="s">
        <v>38</v>
      </c>
      <c r="C27" s="11">
        <v>46127.0</v>
      </c>
      <c r="D27" s="11">
        <v>46143.0</v>
      </c>
      <c r="E27" s="10" t="s">
        <v>35</v>
      </c>
      <c r="F27" s="12">
        <v>4609.0</v>
      </c>
      <c r="G27" s="13">
        <v>689.0</v>
      </c>
      <c r="H27" s="13">
        <v>165.0</v>
      </c>
      <c r="I27" s="14">
        <v>937.07</v>
      </c>
      <c r="J27" s="13">
        <v>11015.0</v>
      </c>
      <c r="K27" s="13">
        <v>88120.0</v>
      </c>
      <c r="L27" s="10" t="s">
        <v>17</v>
      </c>
      <c r="M27" s="15">
        <f t="shared" si="1"/>
        <v>-0.7966869169</v>
      </c>
      <c r="N27" s="16">
        <f t="shared" si="2"/>
        <v>27.93333333</v>
      </c>
    </row>
    <row r="28" ht="15.75" customHeight="1">
      <c r="A28" s="9" t="s">
        <v>61</v>
      </c>
      <c r="B28" s="10" t="s">
        <v>62</v>
      </c>
      <c r="C28" s="11">
        <v>45940.0</v>
      </c>
      <c r="D28" s="11">
        <v>45947.0</v>
      </c>
      <c r="E28" s="10" t="s">
        <v>26</v>
      </c>
      <c r="F28" s="12">
        <v>21901.0</v>
      </c>
      <c r="G28" s="13">
        <v>3889.0</v>
      </c>
      <c r="H28" s="13">
        <v>238.0</v>
      </c>
      <c r="I28" s="14">
        <v>47410.96</v>
      </c>
      <c r="J28" s="13">
        <v>32381.0</v>
      </c>
      <c r="K28" s="13">
        <v>615239.0</v>
      </c>
      <c r="L28" s="10" t="s">
        <v>17</v>
      </c>
      <c r="M28" s="15">
        <f t="shared" si="1"/>
        <v>1.16478517</v>
      </c>
      <c r="N28" s="16">
        <f t="shared" si="2"/>
        <v>92.0210084</v>
      </c>
    </row>
    <row r="29" ht="15.75" customHeight="1">
      <c r="A29" s="9" t="s">
        <v>63</v>
      </c>
      <c r="B29" s="10" t="s">
        <v>47</v>
      </c>
      <c r="C29" s="11">
        <v>46054.0</v>
      </c>
      <c r="D29" s="11">
        <v>46109.0</v>
      </c>
      <c r="E29" s="10" t="s">
        <v>26</v>
      </c>
      <c r="F29" s="12">
        <v>18562.0</v>
      </c>
      <c r="G29" s="13">
        <v>1310.0</v>
      </c>
      <c r="H29" s="13">
        <v>34.0</v>
      </c>
      <c r="I29" s="14">
        <v>6872.29</v>
      </c>
      <c r="J29" s="13">
        <v>21178.0</v>
      </c>
      <c r="K29" s="13">
        <v>529450.0</v>
      </c>
      <c r="L29" s="10" t="s">
        <v>17</v>
      </c>
      <c r="M29" s="15">
        <f t="shared" si="1"/>
        <v>-0.6297656503</v>
      </c>
      <c r="N29" s="16">
        <f t="shared" si="2"/>
        <v>545.9411765</v>
      </c>
    </row>
    <row r="30" ht="15.75" customHeight="1">
      <c r="A30" s="9" t="s">
        <v>64</v>
      </c>
      <c r="B30" s="10" t="s">
        <v>58</v>
      </c>
      <c r="C30" s="11">
        <v>45964.0</v>
      </c>
      <c r="D30" s="11">
        <v>46020.0</v>
      </c>
      <c r="E30" s="10" t="s">
        <v>26</v>
      </c>
      <c r="F30" s="12">
        <v>5339.0</v>
      </c>
      <c r="G30" s="13">
        <v>333.0</v>
      </c>
      <c r="H30" s="13">
        <v>12.0</v>
      </c>
      <c r="I30" s="14">
        <v>1835.89</v>
      </c>
      <c r="J30" s="13">
        <v>9358.0</v>
      </c>
      <c r="K30" s="13">
        <v>177802.0</v>
      </c>
      <c r="L30" s="10" t="s">
        <v>17</v>
      </c>
      <c r="M30" s="15">
        <f t="shared" si="1"/>
        <v>-0.6561359805</v>
      </c>
      <c r="N30" s="16">
        <f t="shared" si="2"/>
        <v>444.9166667</v>
      </c>
    </row>
    <row r="31" ht="15.75" customHeight="1">
      <c r="A31" s="9" t="s">
        <v>65</v>
      </c>
      <c r="B31" s="10" t="s">
        <v>58</v>
      </c>
      <c r="C31" s="11">
        <v>46046.0</v>
      </c>
      <c r="D31" s="11">
        <v>46093.0</v>
      </c>
      <c r="E31" s="10" t="s">
        <v>26</v>
      </c>
      <c r="F31" s="12">
        <v>10472.0</v>
      </c>
      <c r="G31" s="13">
        <v>904.0</v>
      </c>
      <c r="H31" s="13">
        <v>34.0</v>
      </c>
      <c r="I31" s="14">
        <v>4633.14</v>
      </c>
      <c r="J31" s="13">
        <v>16137.0</v>
      </c>
      <c r="K31" s="13">
        <v>258192.0</v>
      </c>
      <c r="L31" s="10" t="s">
        <v>17</v>
      </c>
      <c r="M31" s="15">
        <f t="shared" si="1"/>
        <v>-0.5575687548</v>
      </c>
      <c r="N31" s="16">
        <f t="shared" si="2"/>
        <v>308</v>
      </c>
    </row>
    <row r="32" ht="15.75" customHeight="1">
      <c r="A32" s="9" t="s">
        <v>66</v>
      </c>
      <c r="B32" s="10" t="s">
        <v>28</v>
      </c>
      <c r="C32" s="11">
        <v>46192.0</v>
      </c>
      <c r="D32" s="11">
        <v>46206.0</v>
      </c>
      <c r="E32" s="10" t="s">
        <v>16</v>
      </c>
      <c r="F32" s="12">
        <v>19552.0</v>
      </c>
      <c r="G32" s="13">
        <v>1253.0</v>
      </c>
      <c r="H32" s="13">
        <v>97.0</v>
      </c>
      <c r="I32" s="14">
        <v>21143.16</v>
      </c>
      <c r="J32" s="13">
        <v>19865.0</v>
      </c>
      <c r="K32" s="13">
        <v>258245.0</v>
      </c>
      <c r="L32" s="10" t="s">
        <v>17</v>
      </c>
      <c r="M32" s="15">
        <f t="shared" si="1"/>
        <v>0.0813809329</v>
      </c>
      <c r="N32" s="16">
        <f t="shared" si="2"/>
        <v>201.5670103</v>
      </c>
    </row>
    <row r="33" ht="15.75" customHeight="1">
      <c r="A33" s="9" t="s">
        <v>67</v>
      </c>
      <c r="B33" s="10" t="s">
        <v>38</v>
      </c>
      <c r="C33" s="11">
        <v>45872.0</v>
      </c>
      <c r="D33" s="11">
        <v>45900.0</v>
      </c>
      <c r="E33" s="10" t="s">
        <v>26</v>
      </c>
      <c r="F33" s="12">
        <v>18613.0</v>
      </c>
      <c r="G33" s="13">
        <v>3831.0</v>
      </c>
      <c r="H33" s="13">
        <v>93.0</v>
      </c>
      <c r="I33" s="14">
        <v>6920.21</v>
      </c>
      <c r="J33" s="13">
        <v>27466.0</v>
      </c>
      <c r="K33" s="13">
        <v>741582.0</v>
      </c>
      <c r="L33" s="10" t="s">
        <v>17</v>
      </c>
      <c r="M33" s="15">
        <f t="shared" si="1"/>
        <v>-0.6282055553</v>
      </c>
      <c r="N33" s="16">
        <f t="shared" si="2"/>
        <v>200.1397849</v>
      </c>
      <c r="P33" s="22"/>
    </row>
    <row r="34" ht="15.75" customHeight="1">
      <c r="A34" s="9" t="s">
        <v>68</v>
      </c>
      <c r="B34" s="10" t="s">
        <v>38</v>
      </c>
      <c r="C34" s="11">
        <v>46065.0</v>
      </c>
      <c r="D34" s="11">
        <v>46087.0</v>
      </c>
      <c r="E34" s="10" t="s">
        <v>16</v>
      </c>
      <c r="F34" s="12">
        <v>45569.0</v>
      </c>
      <c r="G34" s="13">
        <v>3269.0</v>
      </c>
      <c r="H34" s="13">
        <v>584.0</v>
      </c>
      <c r="I34" s="14">
        <v>15399.24</v>
      </c>
      <c r="J34" s="13">
        <v>56580.0</v>
      </c>
      <c r="K34" s="13">
        <v>735540.0</v>
      </c>
      <c r="L34" s="10" t="s">
        <v>17</v>
      </c>
      <c r="M34" s="15">
        <f t="shared" si="1"/>
        <v>-0.6620676337</v>
      </c>
      <c r="N34" s="16">
        <f t="shared" si="2"/>
        <v>78.02910959</v>
      </c>
    </row>
    <row r="35" ht="15.75" customHeight="1">
      <c r="A35" s="9" t="s">
        <v>69</v>
      </c>
      <c r="B35" s="10" t="s">
        <v>30</v>
      </c>
      <c r="C35" s="11">
        <v>46143.0</v>
      </c>
      <c r="D35" s="11">
        <v>46176.0</v>
      </c>
      <c r="E35" s="10" t="s">
        <v>16</v>
      </c>
      <c r="F35" s="12">
        <v>26087.0</v>
      </c>
      <c r="G35" s="13">
        <v>3060.0</v>
      </c>
      <c r="H35" s="13">
        <v>165.0</v>
      </c>
      <c r="I35" s="14">
        <v>28403.31</v>
      </c>
      <c r="J35" s="13">
        <v>33100.0</v>
      </c>
      <c r="K35" s="13">
        <v>463400.0</v>
      </c>
      <c r="L35" s="10" t="s">
        <v>17</v>
      </c>
      <c r="M35" s="15">
        <f t="shared" si="1"/>
        <v>0.08879173535</v>
      </c>
      <c r="N35" s="16">
        <f t="shared" si="2"/>
        <v>158.1030303</v>
      </c>
    </row>
    <row r="36" ht="15.75" customHeight="1">
      <c r="A36" s="9" t="s">
        <v>70</v>
      </c>
      <c r="B36" s="10" t="s">
        <v>38</v>
      </c>
      <c r="C36" s="11">
        <v>45875.0</v>
      </c>
      <c r="D36" s="11">
        <v>45881.0</v>
      </c>
      <c r="E36" s="10" t="s">
        <v>35</v>
      </c>
      <c r="F36" s="12">
        <v>2159.0</v>
      </c>
      <c r="G36" s="13">
        <v>125.0</v>
      </c>
      <c r="H36" s="13">
        <v>32.0</v>
      </c>
      <c r="I36" s="14">
        <v>6504.02</v>
      </c>
      <c r="J36" s="13">
        <v>6026.0</v>
      </c>
      <c r="K36" s="13">
        <v>150650.0</v>
      </c>
      <c r="L36" s="10" t="s">
        <v>17</v>
      </c>
      <c r="M36" s="15">
        <f t="shared" si="1"/>
        <v>2.012515053</v>
      </c>
      <c r="N36" s="16">
        <f t="shared" si="2"/>
        <v>67.46875</v>
      </c>
    </row>
    <row r="37" ht="15.75" customHeight="1">
      <c r="A37" s="9" t="s">
        <v>71</v>
      </c>
      <c r="B37" s="10" t="s">
        <v>56</v>
      </c>
      <c r="C37" s="11">
        <v>46138.0</v>
      </c>
      <c r="D37" s="11">
        <v>46168.0</v>
      </c>
      <c r="E37" s="10" t="s">
        <v>26</v>
      </c>
      <c r="F37" s="12">
        <v>23300.0</v>
      </c>
      <c r="G37" s="13">
        <v>2022.0</v>
      </c>
      <c r="H37" s="13">
        <v>139.0</v>
      </c>
      <c r="I37" s="14">
        <v>45562.94</v>
      </c>
      <c r="J37" s="13">
        <v>26434.0</v>
      </c>
      <c r="K37" s="13">
        <v>766586.0</v>
      </c>
      <c r="L37" s="10" t="s">
        <v>17</v>
      </c>
      <c r="M37" s="15">
        <f t="shared" si="1"/>
        <v>0.9554909871</v>
      </c>
      <c r="N37" s="16">
        <f t="shared" si="2"/>
        <v>167.6258993</v>
      </c>
    </row>
    <row r="38" ht="15.75" customHeight="1">
      <c r="A38" s="9" t="s">
        <v>72</v>
      </c>
      <c r="B38" s="10" t="s">
        <v>19</v>
      </c>
      <c r="C38" s="11">
        <v>45968.0</v>
      </c>
      <c r="D38" s="11">
        <v>45991.0</v>
      </c>
      <c r="E38" s="10" t="s">
        <v>26</v>
      </c>
      <c r="F38" s="12">
        <v>26298.0</v>
      </c>
      <c r="G38" s="13">
        <v>514.0</v>
      </c>
      <c r="H38" s="13">
        <v>40.0</v>
      </c>
      <c r="I38" s="14">
        <v>9131.26</v>
      </c>
      <c r="J38" s="13">
        <v>11609.0</v>
      </c>
      <c r="K38" s="13">
        <v>267007.0</v>
      </c>
      <c r="L38" s="10" t="s">
        <v>17</v>
      </c>
      <c r="M38" s="15">
        <f t="shared" si="1"/>
        <v>-0.6527773975</v>
      </c>
      <c r="N38" s="16">
        <f t="shared" si="2"/>
        <v>657.45</v>
      </c>
    </row>
    <row r="39" ht="15.75" customHeight="1">
      <c r="A39" s="9" t="s">
        <v>73</v>
      </c>
      <c r="B39" s="10" t="s">
        <v>56</v>
      </c>
      <c r="C39" s="11">
        <v>45986.0</v>
      </c>
      <c r="D39" s="11">
        <v>46017.0</v>
      </c>
      <c r="E39" s="10" t="s">
        <v>26</v>
      </c>
      <c r="F39" s="12">
        <v>18383.0</v>
      </c>
      <c r="G39" s="13">
        <v>1337.0</v>
      </c>
      <c r="H39" s="13">
        <v>36.0</v>
      </c>
      <c r="I39" s="14">
        <v>2881.79</v>
      </c>
      <c r="J39" s="13">
        <v>20797.0</v>
      </c>
      <c r="K39" s="13">
        <v>228767.0</v>
      </c>
      <c r="L39" s="10" t="s">
        <v>17</v>
      </c>
      <c r="M39" s="15">
        <f t="shared" si="1"/>
        <v>-0.8432361421</v>
      </c>
      <c r="N39" s="16">
        <f t="shared" si="2"/>
        <v>510.6388889</v>
      </c>
    </row>
    <row r="40" ht="15.75" customHeight="1">
      <c r="A40" s="9" t="s">
        <v>74</v>
      </c>
      <c r="B40" s="10" t="s">
        <v>75</v>
      </c>
      <c r="C40" s="11">
        <v>46051.0</v>
      </c>
      <c r="D40" s="11">
        <v>46075.0</v>
      </c>
      <c r="E40" s="10" t="s">
        <v>26</v>
      </c>
      <c r="F40" s="12">
        <v>19137.0</v>
      </c>
      <c r="G40" s="13">
        <v>1225.0</v>
      </c>
      <c r="H40" s="13">
        <v>44.0</v>
      </c>
      <c r="I40" s="14">
        <v>8656.34</v>
      </c>
      <c r="J40" s="13">
        <v>63464.0</v>
      </c>
      <c r="K40" s="13">
        <v>1142352.0</v>
      </c>
      <c r="L40" s="10" t="s">
        <v>17</v>
      </c>
      <c r="M40" s="15">
        <f t="shared" si="1"/>
        <v>-0.5476647332</v>
      </c>
      <c r="N40" s="16">
        <f t="shared" si="2"/>
        <v>434.9318182</v>
      </c>
    </row>
    <row r="41" ht="15.75" customHeight="1">
      <c r="A41" s="9" t="s">
        <v>76</v>
      </c>
      <c r="B41" s="10" t="s">
        <v>56</v>
      </c>
      <c r="C41" s="11">
        <v>46194.0</v>
      </c>
      <c r="D41" s="11">
        <v>46216.0</v>
      </c>
      <c r="E41" s="10" t="s">
        <v>16</v>
      </c>
      <c r="F41" s="12">
        <v>8897.0</v>
      </c>
      <c r="G41" s="13">
        <v>1023.0</v>
      </c>
      <c r="H41" s="13">
        <v>57.0</v>
      </c>
      <c r="I41" s="14">
        <v>5747.32</v>
      </c>
      <c r="J41" s="13">
        <v>6864.0</v>
      </c>
      <c r="K41" s="13">
        <v>68640.0</v>
      </c>
      <c r="L41" s="10" t="s">
        <v>17</v>
      </c>
      <c r="M41" s="15">
        <f t="shared" si="1"/>
        <v>-0.3540159604</v>
      </c>
      <c r="N41" s="16">
        <f t="shared" si="2"/>
        <v>156.0877193</v>
      </c>
    </row>
    <row r="42" ht="15.75" customHeight="1">
      <c r="A42" s="9" t="s">
        <v>77</v>
      </c>
      <c r="B42" s="10" t="s">
        <v>47</v>
      </c>
      <c r="C42" s="11">
        <v>46056.0</v>
      </c>
      <c r="D42" s="11">
        <v>46103.0</v>
      </c>
      <c r="E42" s="10" t="s">
        <v>26</v>
      </c>
      <c r="F42" s="12">
        <v>10695.0</v>
      </c>
      <c r="G42" s="13">
        <v>535.0</v>
      </c>
      <c r="H42" s="13">
        <v>25.0</v>
      </c>
      <c r="I42" s="14">
        <v>24329.13</v>
      </c>
      <c r="J42" s="13">
        <v>22222.0</v>
      </c>
      <c r="K42" s="13">
        <v>177776.0</v>
      </c>
      <c r="L42" s="10" t="s">
        <v>17</v>
      </c>
      <c r="M42" s="15">
        <f t="shared" si="1"/>
        <v>1.274813464</v>
      </c>
      <c r="N42" s="16">
        <f t="shared" si="2"/>
        <v>427.8</v>
      </c>
    </row>
    <row r="43" ht="15.75" customHeight="1">
      <c r="A43" s="9" t="s">
        <v>78</v>
      </c>
      <c r="B43" s="10" t="s">
        <v>75</v>
      </c>
      <c r="C43" s="11">
        <v>46187.0</v>
      </c>
      <c r="D43" s="11">
        <v>46243.0</v>
      </c>
      <c r="E43" s="10" t="s">
        <v>35</v>
      </c>
      <c r="F43" s="12">
        <v>1920.0</v>
      </c>
      <c r="G43" s="13">
        <v>133.0</v>
      </c>
      <c r="H43" s="13">
        <v>30.0</v>
      </c>
      <c r="I43" s="14">
        <v>2972.06</v>
      </c>
      <c r="J43" s="13">
        <v>4118.0</v>
      </c>
      <c r="K43" s="13">
        <v>86478.0</v>
      </c>
      <c r="L43" s="10" t="s">
        <v>17</v>
      </c>
      <c r="M43" s="15">
        <f t="shared" si="1"/>
        <v>0.5479479167</v>
      </c>
      <c r="N43" s="16">
        <f t="shared" si="2"/>
        <v>64</v>
      </c>
    </row>
    <row r="44" ht="15.75" customHeight="1">
      <c r="A44" s="9" t="s">
        <v>79</v>
      </c>
      <c r="B44" s="10" t="s">
        <v>19</v>
      </c>
      <c r="C44" s="11">
        <v>45978.0</v>
      </c>
      <c r="D44" s="11">
        <v>46034.0</v>
      </c>
      <c r="E44" s="10" t="s">
        <v>16</v>
      </c>
      <c r="F44" s="12">
        <v>17783.0</v>
      </c>
      <c r="G44" s="13">
        <v>1518.0</v>
      </c>
      <c r="H44" s="13">
        <v>126.0</v>
      </c>
      <c r="I44" s="14">
        <v>25218.35</v>
      </c>
      <c r="J44" s="13">
        <v>13424.0</v>
      </c>
      <c r="K44" s="13">
        <v>201360.0</v>
      </c>
      <c r="L44" s="10" t="s">
        <v>17</v>
      </c>
      <c r="M44" s="15">
        <f t="shared" si="1"/>
        <v>0.418115616</v>
      </c>
      <c r="N44" s="16">
        <f t="shared" si="2"/>
        <v>141.1349206</v>
      </c>
    </row>
    <row r="45" ht="15.75" customHeight="1">
      <c r="A45" s="9" t="s">
        <v>80</v>
      </c>
      <c r="B45" s="10" t="s">
        <v>47</v>
      </c>
      <c r="C45" s="11">
        <v>46041.0</v>
      </c>
      <c r="D45" s="11">
        <v>46044.0</v>
      </c>
      <c r="E45" s="10" t="s">
        <v>26</v>
      </c>
      <c r="F45" s="12">
        <v>11165.0</v>
      </c>
      <c r="G45" s="13">
        <v>756.0</v>
      </c>
      <c r="H45" s="13">
        <v>39.0</v>
      </c>
      <c r="I45" s="14">
        <v>26539.862</v>
      </c>
      <c r="J45" s="13">
        <v>19489.0</v>
      </c>
      <c r="K45" s="13">
        <v>155912.0</v>
      </c>
      <c r="L45" s="10" t="s">
        <v>17</v>
      </c>
      <c r="M45" s="15">
        <f t="shared" si="1"/>
        <v>1.377058845</v>
      </c>
      <c r="N45" s="16">
        <f t="shared" si="2"/>
        <v>286.2820513</v>
      </c>
    </row>
    <row r="46" ht="15.75" customHeight="1">
      <c r="A46" s="9" t="s">
        <v>81</v>
      </c>
      <c r="B46" s="10" t="s">
        <v>58</v>
      </c>
      <c r="C46" s="11">
        <v>45871.0</v>
      </c>
      <c r="D46" s="11">
        <v>45914.0</v>
      </c>
      <c r="E46" s="10" t="s">
        <v>26</v>
      </c>
      <c r="F46" s="12">
        <v>17713.0</v>
      </c>
      <c r="G46" s="13">
        <v>1681.0</v>
      </c>
      <c r="H46" s="13">
        <v>125.0</v>
      </c>
      <c r="I46" s="14">
        <v>10072.32</v>
      </c>
      <c r="J46" s="13">
        <v>36801.0</v>
      </c>
      <c r="K46" s="13">
        <v>441612.0</v>
      </c>
      <c r="L46" s="10" t="s">
        <v>17</v>
      </c>
      <c r="M46" s="15">
        <f t="shared" si="1"/>
        <v>-0.4313600181</v>
      </c>
      <c r="N46" s="16">
        <f t="shared" si="2"/>
        <v>141.704</v>
      </c>
    </row>
    <row r="47" ht="15.75" customHeight="1">
      <c r="A47" s="9" t="s">
        <v>82</v>
      </c>
      <c r="B47" s="10" t="s">
        <v>30</v>
      </c>
      <c r="C47" s="11">
        <v>46144.0</v>
      </c>
      <c r="D47" s="11">
        <v>46148.0</v>
      </c>
      <c r="E47" s="10" t="s">
        <v>16</v>
      </c>
      <c r="F47" s="12">
        <v>10314.0</v>
      </c>
      <c r="G47" s="13">
        <v>1714.0</v>
      </c>
      <c r="H47" s="13">
        <v>261.0</v>
      </c>
      <c r="I47" s="14">
        <v>33194.89</v>
      </c>
      <c r="J47" s="13">
        <v>13870.0</v>
      </c>
      <c r="K47" s="13">
        <v>249660.0</v>
      </c>
      <c r="L47" s="10" t="s">
        <v>17</v>
      </c>
      <c r="M47" s="15">
        <f t="shared" si="1"/>
        <v>2.218430289</v>
      </c>
      <c r="N47" s="16">
        <f t="shared" si="2"/>
        <v>39.51724138</v>
      </c>
    </row>
    <row r="48" ht="15.75" customHeight="1">
      <c r="A48" s="9" t="s">
        <v>83</v>
      </c>
      <c r="B48" s="10" t="s">
        <v>56</v>
      </c>
      <c r="C48" s="11">
        <v>45897.0</v>
      </c>
      <c r="D48" s="11">
        <v>45947.0</v>
      </c>
      <c r="E48" s="10" t="s">
        <v>16</v>
      </c>
      <c r="F48" s="12">
        <v>11165.0</v>
      </c>
      <c r="G48" s="13">
        <v>914.0</v>
      </c>
      <c r="H48" s="13">
        <v>102.0</v>
      </c>
      <c r="I48" s="14">
        <v>26754.05</v>
      </c>
      <c r="J48" s="13">
        <v>8736.0</v>
      </c>
      <c r="K48" s="13">
        <v>209664.0</v>
      </c>
      <c r="L48" s="10" t="s">
        <v>17</v>
      </c>
      <c r="M48" s="15">
        <f t="shared" si="1"/>
        <v>1.396242723</v>
      </c>
      <c r="N48" s="16">
        <f t="shared" si="2"/>
        <v>109.4607843</v>
      </c>
    </row>
    <row r="49" ht="15.75" customHeight="1">
      <c r="A49" s="9" t="s">
        <v>84</v>
      </c>
      <c r="B49" s="10" t="s">
        <v>52</v>
      </c>
      <c r="C49" s="11">
        <v>46057.0</v>
      </c>
      <c r="D49" s="11">
        <v>46103.0</v>
      </c>
      <c r="E49" s="10" t="s">
        <v>35</v>
      </c>
      <c r="F49" s="12">
        <v>1684.0</v>
      </c>
      <c r="G49" s="13">
        <v>325.0</v>
      </c>
      <c r="H49" s="13">
        <v>64.0</v>
      </c>
      <c r="I49" s="14">
        <v>1656.87</v>
      </c>
      <c r="J49" s="13">
        <v>3595.0</v>
      </c>
      <c r="K49" s="13">
        <v>97065.0</v>
      </c>
      <c r="L49" s="10" t="s">
        <v>17</v>
      </c>
      <c r="M49" s="15">
        <f t="shared" si="1"/>
        <v>-0.01611045131</v>
      </c>
      <c r="N49" s="16">
        <f t="shared" si="2"/>
        <v>26.3125</v>
      </c>
    </row>
    <row r="50" ht="15.75" customHeight="1">
      <c r="A50" s="9" t="s">
        <v>85</v>
      </c>
      <c r="B50" s="10" t="s">
        <v>52</v>
      </c>
      <c r="C50" s="11">
        <v>45897.0</v>
      </c>
      <c r="D50" s="11">
        <v>45954.0</v>
      </c>
      <c r="E50" s="10" t="s">
        <v>35</v>
      </c>
      <c r="F50" s="12">
        <v>2561.0</v>
      </c>
      <c r="G50" s="13">
        <v>241.0</v>
      </c>
      <c r="H50" s="13">
        <v>44.0</v>
      </c>
      <c r="I50" s="14">
        <v>8143.76</v>
      </c>
      <c r="J50" s="13">
        <v>5557.0</v>
      </c>
      <c r="K50" s="13">
        <v>66684.0</v>
      </c>
      <c r="L50" s="10" t="s">
        <v>17</v>
      </c>
      <c r="M50" s="15">
        <f t="shared" si="1"/>
        <v>2.179914096</v>
      </c>
      <c r="N50" s="16">
        <f t="shared" si="2"/>
        <v>58.20454545</v>
      </c>
    </row>
    <row r="51" ht="15.75" customHeight="1">
      <c r="A51" s="9" t="s">
        <v>86</v>
      </c>
      <c r="B51" s="10" t="s">
        <v>47</v>
      </c>
      <c r="C51" s="11">
        <v>45888.0</v>
      </c>
      <c r="D51" s="11">
        <v>45938.0</v>
      </c>
      <c r="E51" s="10" t="s">
        <v>26</v>
      </c>
      <c r="F51" s="12">
        <v>14710.0</v>
      </c>
      <c r="G51" s="13">
        <v>1099.0</v>
      </c>
      <c r="H51" s="13">
        <v>75.0</v>
      </c>
      <c r="I51" s="14">
        <v>40313.21</v>
      </c>
      <c r="J51" s="13">
        <v>23208.0</v>
      </c>
      <c r="K51" s="13">
        <v>208872.0</v>
      </c>
      <c r="L51" s="10" t="s">
        <v>17</v>
      </c>
      <c r="M51" s="15">
        <f t="shared" si="1"/>
        <v>1.740530931</v>
      </c>
      <c r="N51" s="16">
        <f t="shared" si="2"/>
        <v>196.1333333</v>
      </c>
    </row>
    <row r="52" ht="15.75" customHeight="1">
      <c r="A52" s="9" t="s">
        <v>88</v>
      </c>
      <c r="B52" s="10" t="s">
        <v>62</v>
      </c>
      <c r="C52" s="11">
        <v>45918.0</v>
      </c>
      <c r="D52" s="11">
        <v>45963.0</v>
      </c>
      <c r="E52" s="10" t="s">
        <v>16</v>
      </c>
      <c r="F52" s="12">
        <v>38600.0</v>
      </c>
      <c r="G52" s="13">
        <v>2202.0</v>
      </c>
      <c r="H52" s="13">
        <v>174.0</v>
      </c>
      <c r="I52" s="14">
        <v>20750.03</v>
      </c>
      <c r="J52" s="13">
        <v>63464.0</v>
      </c>
      <c r="K52" s="13">
        <v>1713528.0</v>
      </c>
      <c r="L52" s="10" t="s">
        <v>17</v>
      </c>
      <c r="M52" s="15">
        <f t="shared" si="1"/>
        <v>-0.462434456</v>
      </c>
      <c r="N52" s="16">
        <f t="shared" si="2"/>
        <v>221.8390805</v>
      </c>
    </row>
    <row r="53" ht="15.75" customHeight="1">
      <c r="A53" s="9" t="s">
        <v>89</v>
      </c>
      <c r="B53" s="10" t="s">
        <v>56</v>
      </c>
      <c r="C53" s="11">
        <v>45975.0</v>
      </c>
      <c r="D53" s="11">
        <v>45979.0</v>
      </c>
      <c r="E53" s="10" t="s">
        <v>35</v>
      </c>
      <c r="F53" s="12">
        <v>2277.0</v>
      </c>
      <c r="G53" s="13">
        <v>121.0</v>
      </c>
      <c r="H53" s="13">
        <v>18.0</v>
      </c>
      <c r="I53" s="14">
        <v>1768.1</v>
      </c>
      <c r="J53" s="13">
        <v>5462.0</v>
      </c>
      <c r="K53" s="13">
        <v>43696.0</v>
      </c>
      <c r="L53" s="10" t="s">
        <v>17</v>
      </c>
      <c r="M53" s="15">
        <f t="shared" si="1"/>
        <v>-0.2234958278</v>
      </c>
      <c r="N53" s="16">
        <f t="shared" si="2"/>
        <v>126.5</v>
      </c>
    </row>
    <row r="54" ht="15.75" customHeight="1">
      <c r="A54" s="9" t="s">
        <v>90</v>
      </c>
      <c r="B54" s="10" t="s">
        <v>19</v>
      </c>
      <c r="C54" s="11">
        <v>46028.0</v>
      </c>
      <c r="D54" s="11">
        <v>46050.0</v>
      </c>
      <c r="E54" s="10" t="s">
        <v>26</v>
      </c>
      <c r="F54" s="12">
        <v>13129.0</v>
      </c>
      <c r="G54" s="13">
        <v>2449.0</v>
      </c>
      <c r="H54" s="13">
        <v>163.0</v>
      </c>
      <c r="I54" s="14">
        <v>8288.12</v>
      </c>
      <c r="J54" s="13">
        <v>20496.0</v>
      </c>
      <c r="K54" s="13">
        <v>471408.0</v>
      </c>
      <c r="L54" s="10" t="s">
        <v>17</v>
      </c>
      <c r="M54" s="15">
        <f t="shared" si="1"/>
        <v>-0.3687165816</v>
      </c>
      <c r="N54" s="16">
        <f t="shared" si="2"/>
        <v>80.54601227</v>
      </c>
    </row>
    <row r="55" ht="15.75" customHeight="1">
      <c r="A55" s="9" t="s">
        <v>91</v>
      </c>
      <c r="B55" s="10" t="s">
        <v>56</v>
      </c>
      <c r="C55" s="11">
        <v>46059.0</v>
      </c>
      <c r="D55" s="11">
        <v>46069.0</v>
      </c>
      <c r="E55" s="10" t="s">
        <v>26</v>
      </c>
      <c r="F55" s="12">
        <v>11781.0</v>
      </c>
      <c r="G55" s="13">
        <v>947.0</v>
      </c>
      <c r="H55" s="13">
        <v>57.0</v>
      </c>
      <c r="I55" s="14">
        <v>5280.7</v>
      </c>
      <c r="J55" s="13">
        <v>17962.0</v>
      </c>
      <c r="K55" s="13">
        <v>215544.0</v>
      </c>
      <c r="L55" s="10" t="s">
        <v>17</v>
      </c>
      <c r="M55" s="15">
        <f t="shared" si="1"/>
        <v>-0.5517613106</v>
      </c>
      <c r="N55" s="16">
        <f t="shared" si="2"/>
        <v>206.6842105</v>
      </c>
    </row>
    <row r="56" ht="15.75" customHeight="1">
      <c r="A56" s="9" t="s">
        <v>92</v>
      </c>
      <c r="B56" s="10" t="s">
        <v>58</v>
      </c>
      <c r="C56" s="11">
        <v>45928.0</v>
      </c>
      <c r="D56" s="11">
        <v>45939.0</v>
      </c>
      <c r="E56" s="10" t="s">
        <v>35</v>
      </c>
      <c r="F56" s="12">
        <v>3914.0</v>
      </c>
      <c r="G56" s="13">
        <v>302.0</v>
      </c>
      <c r="H56" s="13">
        <v>62.0</v>
      </c>
      <c r="I56" s="14">
        <v>9684.29</v>
      </c>
      <c r="J56" s="13">
        <v>16977.0</v>
      </c>
      <c r="K56" s="13">
        <v>169770.0</v>
      </c>
      <c r="L56" s="10" t="s">
        <v>17</v>
      </c>
      <c r="M56" s="15">
        <f t="shared" si="1"/>
        <v>1.47426929</v>
      </c>
      <c r="N56" s="16">
        <f t="shared" si="2"/>
        <v>63.12903226</v>
      </c>
    </row>
    <row r="57" ht="15.75" customHeight="1">
      <c r="A57" s="9" t="s">
        <v>93</v>
      </c>
      <c r="B57" s="10" t="s">
        <v>58</v>
      </c>
      <c r="C57" s="11">
        <v>45987.0</v>
      </c>
      <c r="D57" s="11">
        <v>45997.0</v>
      </c>
      <c r="E57" s="10" t="s">
        <v>16</v>
      </c>
      <c r="F57" s="12">
        <v>33544.0</v>
      </c>
      <c r="G57" s="13">
        <v>1994.0</v>
      </c>
      <c r="H57" s="13">
        <v>105.0</v>
      </c>
      <c r="I57" s="14">
        <v>17743.07</v>
      </c>
      <c r="J57" s="13">
        <v>40670.0</v>
      </c>
      <c r="K57" s="13">
        <v>1057420.0</v>
      </c>
      <c r="L57" s="10" t="s">
        <v>17</v>
      </c>
      <c r="M57" s="15">
        <f t="shared" si="1"/>
        <v>-0.4710508586</v>
      </c>
      <c r="N57" s="16">
        <f t="shared" si="2"/>
        <v>319.4666667</v>
      </c>
    </row>
    <row r="58" ht="15.75" customHeight="1">
      <c r="A58" s="9" t="s">
        <v>94</v>
      </c>
      <c r="B58" s="10" t="s">
        <v>62</v>
      </c>
      <c r="C58" s="11">
        <v>46009.0</v>
      </c>
      <c r="D58" s="11">
        <v>46061.0</v>
      </c>
      <c r="E58" s="10" t="s">
        <v>26</v>
      </c>
      <c r="F58" s="12">
        <v>8009.0</v>
      </c>
      <c r="G58" s="13">
        <v>641.0</v>
      </c>
      <c r="H58" s="13">
        <v>15.0</v>
      </c>
      <c r="I58" s="14">
        <v>11308.36</v>
      </c>
      <c r="J58" s="13">
        <v>11779.0</v>
      </c>
      <c r="K58" s="13">
        <v>129569.0</v>
      </c>
      <c r="L58" s="10" t="s">
        <v>17</v>
      </c>
      <c r="M58" s="15">
        <f t="shared" si="1"/>
        <v>0.4119565489</v>
      </c>
      <c r="N58" s="16">
        <f t="shared" si="2"/>
        <v>533.9333333</v>
      </c>
    </row>
    <row r="59" ht="15.75" customHeight="1">
      <c r="A59" s="9" t="s">
        <v>95</v>
      </c>
      <c r="B59" s="10" t="s">
        <v>30</v>
      </c>
      <c r="C59" s="11">
        <v>46160.0</v>
      </c>
      <c r="D59" s="11">
        <v>46194.0</v>
      </c>
      <c r="E59" s="10" t="s">
        <v>26</v>
      </c>
      <c r="F59" s="12">
        <v>17702.0</v>
      </c>
      <c r="G59" s="13">
        <v>1583.0</v>
      </c>
      <c r="H59" s="13">
        <v>103.0</v>
      </c>
      <c r="I59" s="14">
        <v>21751.6</v>
      </c>
      <c r="J59" s="13">
        <v>23417.0</v>
      </c>
      <c r="K59" s="13">
        <v>281004.0</v>
      </c>
      <c r="L59" s="10" t="s">
        <v>17</v>
      </c>
      <c r="M59" s="15">
        <f t="shared" si="1"/>
        <v>0.2287651113</v>
      </c>
      <c r="N59" s="16">
        <f t="shared" si="2"/>
        <v>171.8640777</v>
      </c>
    </row>
    <row r="60" ht="15.75" customHeight="1">
      <c r="A60" s="9" t="s">
        <v>96</v>
      </c>
      <c r="B60" s="10" t="s">
        <v>28</v>
      </c>
      <c r="C60" s="11">
        <v>46019.0</v>
      </c>
      <c r="D60" s="11">
        <v>46054.0</v>
      </c>
      <c r="E60" s="10" t="s">
        <v>16</v>
      </c>
      <c r="F60" s="12">
        <v>11862.0</v>
      </c>
      <c r="G60" s="13">
        <v>2415.0</v>
      </c>
      <c r="H60" s="13">
        <v>218.0</v>
      </c>
      <c r="I60" s="14">
        <v>36667.98</v>
      </c>
      <c r="J60" s="13">
        <v>12461.0</v>
      </c>
      <c r="K60" s="13">
        <v>274142.0</v>
      </c>
      <c r="L60" s="10" t="s">
        <v>17</v>
      </c>
      <c r="M60" s="15">
        <f t="shared" si="1"/>
        <v>2.091213961</v>
      </c>
      <c r="N60" s="16">
        <f t="shared" si="2"/>
        <v>54.41284404</v>
      </c>
    </row>
    <row r="61" ht="15.75" customHeight="1">
      <c r="A61" s="9" t="s">
        <v>97</v>
      </c>
      <c r="B61" s="10" t="s">
        <v>19</v>
      </c>
      <c r="C61" s="11">
        <v>46131.0</v>
      </c>
      <c r="D61" s="11">
        <v>46175.0</v>
      </c>
      <c r="E61" s="10" t="s">
        <v>16</v>
      </c>
      <c r="F61" s="12">
        <v>19336.0</v>
      </c>
      <c r="G61" s="13">
        <v>3014.0</v>
      </c>
      <c r="H61" s="13">
        <v>276.0</v>
      </c>
      <c r="I61" s="14">
        <v>14187.1</v>
      </c>
      <c r="J61" s="13">
        <v>19819.0</v>
      </c>
      <c r="K61" s="13">
        <v>257647.0</v>
      </c>
      <c r="L61" s="10" t="s">
        <v>17</v>
      </c>
      <c r="M61" s="15">
        <f t="shared" si="1"/>
        <v>-0.2662856847</v>
      </c>
      <c r="N61" s="16">
        <f t="shared" si="2"/>
        <v>70.05797101</v>
      </c>
    </row>
    <row r="62" ht="15.75" customHeight="1">
      <c r="A62" s="9" t="s">
        <v>98</v>
      </c>
      <c r="B62" s="10" t="s">
        <v>47</v>
      </c>
      <c r="C62" s="11">
        <v>45920.0</v>
      </c>
      <c r="D62" s="11">
        <v>45946.0</v>
      </c>
      <c r="E62" s="10" t="s">
        <v>16</v>
      </c>
      <c r="F62" s="12">
        <v>31435.0</v>
      </c>
      <c r="G62" s="13">
        <v>1917.0</v>
      </c>
      <c r="H62" s="13">
        <v>324.0</v>
      </c>
      <c r="I62" s="14">
        <v>46585.7</v>
      </c>
      <c r="J62" s="13">
        <v>35423.0</v>
      </c>
      <c r="K62" s="13">
        <v>708460.0</v>
      </c>
      <c r="L62" s="10" t="s">
        <v>17</v>
      </c>
      <c r="M62" s="15">
        <f t="shared" si="1"/>
        <v>0.4819691427</v>
      </c>
      <c r="N62" s="16">
        <f t="shared" si="2"/>
        <v>97.02160494</v>
      </c>
    </row>
    <row r="63" ht="15.75" customHeight="1">
      <c r="A63" s="9" t="s">
        <v>99</v>
      </c>
      <c r="B63" s="10" t="s">
        <v>19</v>
      </c>
      <c r="C63" s="11">
        <v>45904.0</v>
      </c>
      <c r="D63" s="11">
        <v>45949.0</v>
      </c>
      <c r="E63" s="10" t="s">
        <v>35</v>
      </c>
      <c r="F63" s="12">
        <v>1565.0</v>
      </c>
      <c r="G63" s="13">
        <v>159.0</v>
      </c>
      <c r="H63" s="13">
        <v>36.0</v>
      </c>
      <c r="I63" s="14">
        <v>3600.53</v>
      </c>
      <c r="J63" s="13">
        <v>5248.0</v>
      </c>
      <c r="K63" s="13">
        <v>62976.0</v>
      </c>
      <c r="L63" s="10" t="s">
        <v>17</v>
      </c>
      <c r="M63" s="15">
        <f t="shared" si="1"/>
        <v>1.300658147</v>
      </c>
      <c r="N63" s="16">
        <f t="shared" si="2"/>
        <v>43.47222222</v>
      </c>
    </row>
    <row r="64" ht="15.75" customHeight="1">
      <c r="A64" s="9" t="s">
        <v>100</v>
      </c>
      <c r="B64" s="10" t="s">
        <v>56</v>
      </c>
      <c r="C64" s="11">
        <v>46108.0</v>
      </c>
      <c r="D64" s="11">
        <v>46113.0</v>
      </c>
      <c r="E64" s="10" t="s">
        <v>35</v>
      </c>
      <c r="F64" s="12">
        <v>3558.0</v>
      </c>
      <c r="G64" s="13">
        <v>262.0</v>
      </c>
      <c r="H64" s="13">
        <v>72.0</v>
      </c>
      <c r="I64" s="14">
        <v>4840.47</v>
      </c>
      <c r="J64" s="13">
        <v>9713.0</v>
      </c>
      <c r="K64" s="13">
        <v>87417.0</v>
      </c>
      <c r="L64" s="10" t="s">
        <v>17</v>
      </c>
      <c r="M64" s="15">
        <f t="shared" si="1"/>
        <v>0.3604468803</v>
      </c>
      <c r="N64" s="16">
        <f t="shared" si="2"/>
        <v>49.41666667</v>
      </c>
    </row>
    <row r="65" ht="15.75" customHeight="1">
      <c r="A65" s="9" t="s">
        <v>101</v>
      </c>
      <c r="B65" s="10" t="s">
        <v>15</v>
      </c>
      <c r="C65" s="11">
        <v>46068.0</v>
      </c>
      <c r="D65" s="11">
        <v>46085.0</v>
      </c>
      <c r="E65" s="10" t="s">
        <v>16</v>
      </c>
      <c r="F65" s="12">
        <v>41996.0</v>
      </c>
      <c r="G65" s="13">
        <v>2537.0</v>
      </c>
      <c r="H65" s="13">
        <v>205.0</v>
      </c>
      <c r="I65" s="14">
        <v>38138.4</v>
      </c>
      <c r="J65" s="13">
        <v>28654.0</v>
      </c>
      <c r="K65" s="13">
        <v>573080.0</v>
      </c>
      <c r="L65" s="10" t="s">
        <v>17</v>
      </c>
      <c r="M65" s="15">
        <f t="shared" si="1"/>
        <v>-0.09185636727</v>
      </c>
      <c r="N65" s="16">
        <f t="shared" si="2"/>
        <v>204.8585366</v>
      </c>
    </row>
    <row r="66" ht="15.75" customHeight="1">
      <c r="A66" s="9" t="s">
        <v>102</v>
      </c>
      <c r="B66" s="10" t="s">
        <v>15</v>
      </c>
      <c r="C66" s="11">
        <v>45909.0</v>
      </c>
      <c r="D66" s="11">
        <v>45967.0</v>
      </c>
      <c r="E66" s="10" t="s">
        <v>35</v>
      </c>
      <c r="F66" s="12">
        <v>2848.0</v>
      </c>
      <c r="G66" s="13">
        <v>286.0</v>
      </c>
      <c r="H66" s="13">
        <v>31.0</v>
      </c>
      <c r="I66" s="14">
        <v>6874.16</v>
      </c>
      <c r="J66" s="13">
        <v>8950.0</v>
      </c>
      <c r="K66" s="13">
        <v>196900.0</v>
      </c>
      <c r="L66" s="10" t="s">
        <v>17</v>
      </c>
      <c r="M66" s="15">
        <f t="shared" si="1"/>
        <v>1.413679775</v>
      </c>
      <c r="N66" s="16">
        <f t="shared" si="2"/>
        <v>91.87096774</v>
      </c>
    </row>
    <row r="67" ht="15.75" customHeight="1">
      <c r="A67" s="9" t="s">
        <v>103</v>
      </c>
      <c r="B67" s="10" t="s">
        <v>25</v>
      </c>
      <c r="C67" s="11">
        <v>46017.0</v>
      </c>
      <c r="D67" s="11">
        <v>46021.0</v>
      </c>
      <c r="E67" s="10" t="s">
        <v>35</v>
      </c>
      <c r="F67" s="12">
        <v>4198.0</v>
      </c>
      <c r="G67" s="13">
        <v>540.0</v>
      </c>
      <c r="H67" s="13">
        <v>59.0</v>
      </c>
      <c r="I67" s="14">
        <v>8397.8</v>
      </c>
      <c r="J67" s="13">
        <v>12889.0</v>
      </c>
      <c r="K67" s="13">
        <v>154668.0</v>
      </c>
      <c r="L67" s="10" t="s">
        <v>17</v>
      </c>
      <c r="M67" s="15">
        <f t="shared" si="1"/>
        <v>1.000428776</v>
      </c>
      <c r="N67" s="16">
        <f t="shared" si="2"/>
        <v>71.15254237</v>
      </c>
    </row>
    <row r="68" ht="15.75" customHeight="1">
      <c r="A68" s="9" t="s">
        <v>104</v>
      </c>
      <c r="B68" s="10" t="s">
        <v>56</v>
      </c>
      <c r="C68" s="11">
        <v>46079.0</v>
      </c>
      <c r="D68" s="11">
        <v>46110.0</v>
      </c>
      <c r="E68" s="10" t="s">
        <v>35</v>
      </c>
      <c r="F68" s="12">
        <v>2843.0</v>
      </c>
      <c r="G68" s="13">
        <v>113.0</v>
      </c>
      <c r="H68" s="13">
        <v>31.0</v>
      </c>
      <c r="I68" s="14">
        <v>2553.02</v>
      </c>
      <c r="J68" s="13">
        <v>5381.0</v>
      </c>
      <c r="K68" s="13">
        <v>59191.0</v>
      </c>
      <c r="L68" s="10" t="s">
        <v>17</v>
      </c>
      <c r="M68" s="15">
        <f t="shared" si="1"/>
        <v>-0.1019978896</v>
      </c>
      <c r="N68" s="16">
        <f t="shared" si="2"/>
        <v>91.70967742</v>
      </c>
    </row>
    <row r="69" ht="15.75" customHeight="1">
      <c r="A69" s="9" t="s">
        <v>105</v>
      </c>
      <c r="B69" s="10" t="s">
        <v>19</v>
      </c>
      <c r="C69" s="11">
        <v>46094.0</v>
      </c>
      <c r="D69" s="11">
        <v>46135.0</v>
      </c>
      <c r="E69" s="10" t="s">
        <v>26</v>
      </c>
      <c r="F69" s="12">
        <v>20065.0</v>
      </c>
      <c r="G69" s="13">
        <v>2549.0</v>
      </c>
      <c r="H69" s="13">
        <v>53.0</v>
      </c>
      <c r="I69" s="14">
        <v>3745.33</v>
      </c>
      <c r="J69" s="13">
        <v>32935.0</v>
      </c>
      <c r="K69" s="13">
        <v>329350.0</v>
      </c>
      <c r="L69" s="10" t="s">
        <v>17</v>
      </c>
      <c r="M69" s="15">
        <f t="shared" si="1"/>
        <v>-0.8133401445</v>
      </c>
      <c r="N69" s="16">
        <f t="shared" si="2"/>
        <v>378.5849057</v>
      </c>
    </row>
    <row r="70" ht="15.75" customHeight="1">
      <c r="A70" s="9" t="s">
        <v>106</v>
      </c>
      <c r="B70" s="10" t="s">
        <v>19</v>
      </c>
      <c r="C70" s="11">
        <v>46098.0</v>
      </c>
      <c r="D70" s="11">
        <v>46136.0</v>
      </c>
      <c r="E70" s="10" t="s">
        <v>16</v>
      </c>
      <c r="F70" s="12">
        <v>8332.0</v>
      </c>
      <c r="G70" s="13">
        <v>587.0</v>
      </c>
      <c r="H70" s="13">
        <v>59.0</v>
      </c>
      <c r="I70" s="14">
        <v>7331.76</v>
      </c>
      <c r="J70" s="13">
        <v>8588.0</v>
      </c>
      <c r="K70" s="13">
        <v>223288.0</v>
      </c>
      <c r="L70" s="10" t="s">
        <v>17</v>
      </c>
      <c r="M70" s="15">
        <f t="shared" si="1"/>
        <v>-0.1200480077</v>
      </c>
      <c r="N70" s="16">
        <f t="shared" si="2"/>
        <v>141.220339</v>
      </c>
    </row>
    <row r="71" ht="15.75" customHeight="1">
      <c r="A71" s="9" t="s">
        <v>107</v>
      </c>
      <c r="B71" s="10" t="s">
        <v>25</v>
      </c>
      <c r="C71" s="11">
        <v>46117.0</v>
      </c>
      <c r="D71" s="11">
        <v>46150.0</v>
      </c>
      <c r="E71" s="10" t="s">
        <v>26</v>
      </c>
      <c r="F71" s="12">
        <v>10800.0</v>
      </c>
      <c r="G71" s="13">
        <v>1259.0</v>
      </c>
      <c r="H71" s="13">
        <v>27.0</v>
      </c>
      <c r="I71" s="14">
        <v>34622.75</v>
      </c>
      <c r="J71" s="13">
        <v>15694.0</v>
      </c>
      <c r="K71" s="13">
        <v>313880.0</v>
      </c>
      <c r="L71" s="10" t="s">
        <v>17</v>
      </c>
      <c r="M71" s="15">
        <f t="shared" si="1"/>
        <v>2.205810185</v>
      </c>
      <c r="N71" s="16">
        <f t="shared" si="2"/>
        <v>400</v>
      </c>
    </row>
    <row r="72" ht="15.75" customHeight="1">
      <c r="A72" s="9" t="s">
        <v>108</v>
      </c>
      <c r="B72" s="10" t="s">
        <v>25</v>
      </c>
      <c r="C72" s="11">
        <v>46093.0</v>
      </c>
      <c r="D72" s="11">
        <v>46119.0</v>
      </c>
      <c r="E72" s="10" t="s">
        <v>16</v>
      </c>
      <c r="F72" s="12">
        <v>59251.0</v>
      </c>
      <c r="G72" s="13">
        <v>3790.0</v>
      </c>
      <c r="H72" s="13">
        <v>445.0</v>
      </c>
      <c r="I72" s="14">
        <v>27904.84</v>
      </c>
      <c r="J72" s="13">
        <v>45537.0</v>
      </c>
      <c r="K72" s="13">
        <v>1320573.0</v>
      </c>
      <c r="L72" s="10" t="s">
        <v>17</v>
      </c>
      <c r="M72" s="15">
        <f t="shared" si="1"/>
        <v>-0.529040185</v>
      </c>
      <c r="N72" s="16">
        <f t="shared" si="2"/>
        <v>133.1483146</v>
      </c>
    </row>
    <row r="73" ht="15.75" customHeight="1">
      <c r="A73" s="9" t="s">
        <v>109</v>
      </c>
      <c r="B73" s="10" t="s">
        <v>25</v>
      </c>
      <c r="C73" s="11">
        <v>46018.0</v>
      </c>
      <c r="D73" s="11">
        <v>46049.0</v>
      </c>
      <c r="E73" s="10" t="s">
        <v>35</v>
      </c>
      <c r="F73" s="12">
        <v>1146.0</v>
      </c>
      <c r="G73" s="13">
        <v>82.0</v>
      </c>
      <c r="H73" s="13">
        <v>20.0</v>
      </c>
      <c r="I73" s="14">
        <v>2549.78</v>
      </c>
      <c r="J73" s="13">
        <v>2443.0</v>
      </c>
      <c r="K73" s="13">
        <v>58632.0</v>
      </c>
      <c r="L73" s="10" t="s">
        <v>17</v>
      </c>
      <c r="M73" s="15">
        <f t="shared" si="1"/>
        <v>1.224938918</v>
      </c>
      <c r="N73" s="16">
        <f t="shared" si="2"/>
        <v>57.3</v>
      </c>
    </row>
    <row r="74" ht="15.75" customHeight="1">
      <c r="A74" s="9" t="s">
        <v>110</v>
      </c>
      <c r="B74" s="10" t="s">
        <v>75</v>
      </c>
      <c r="C74" s="11">
        <v>46186.0</v>
      </c>
      <c r="D74" s="11">
        <v>46239.0</v>
      </c>
      <c r="E74" s="10" t="s">
        <v>35</v>
      </c>
      <c r="F74" s="12">
        <v>4389.0</v>
      </c>
      <c r="G74" s="13">
        <v>266.0</v>
      </c>
      <c r="H74" s="13">
        <v>28.0</v>
      </c>
      <c r="I74" s="14">
        <v>2996.3</v>
      </c>
      <c r="J74" s="13">
        <v>25292.0</v>
      </c>
      <c r="K74" s="13">
        <v>480548.0</v>
      </c>
      <c r="L74" s="10" t="s">
        <v>17</v>
      </c>
      <c r="M74" s="15">
        <f t="shared" si="1"/>
        <v>-0.3173160173</v>
      </c>
      <c r="N74" s="16">
        <f t="shared" si="2"/>
        <v>156.75</v>
      </c>
    </row>
    <row r="75" ht="15.75" customHeight="1">
      <c r="A75" s="9" t="s">
        <v>111</v>
      </c>
      <c r="B75" s="10" t="s">
        <v>52</v>
      </c>
      <c r="C75" s="11">
        <v>46171.0</v>
      </c>
      <c r="D75" s="11">
        <v>46191.0</v>
      </c>
      <c r="E75" s="10" t="s">
        <v>26</v>
      </c>
      <c r="F75" s="12">
        <v>10679.0</v>
      </c>
      <c r="G75" s="13">
        <v>1530.0</v>
      </c>
      <c r="H75" s="13">
        <v>118.0</v>
      </c>
      <c r="I75" s="14">
        <v>18069.41</v>
      </c>
      <c r="J75" s="13">
        <v>33842.0</v>
      </c>
      <c r="K75" s="13">
        <v>913734.0</v>
      </c>
      <c r="L75" s="10" t="s">
        <v>17</v>
      </c>
      <c r="M75" s="15">
        <f t="shared" si="1"/>
        <v>0.6920507538</v>
      </c>
      <c r="N75" s="16">
        <f t="shared" si="2"/>
        <v>90.5</v>
      </c>
    </row>
    <row r="76" ht="15.75" customHeight="1">
      <c r="A76" s="9" t="s">
        <v>112</v>
      </c>
      <c r="B76" s="10" t="s">
        <v>62</v>
      </c>
      <c r="C76" s="11">
        <v>45876.0</v>
      </c>
      <c r="D76" s="11">
        <v>45907.0</v>
      </c>
      <c r="E76" s="10" t="s">
        <v>26</v>
      </c>
      <c r="F76" s="12">
        <v>8157.0</v>
      </c>
      <c r="G76" s="13">
        <v>1509.0</v>
      </c>
      <c r="H76" s="13">
        <v>111.0</v>
      </c>
      <c r="I76" s="14">
        <v>20171.14</v>
      </c>
      <c r="J76" s="13">
        <v>14384.0</v>
      </c>
      <c r="K76" s="13">
        <v>244528.0</v>
      </c>
      <c r="L76" s="10" t="s">
        <v>17</v>
      </c>
      <c r="M76" s="15">
        <f t="shared" si="1"/>
        <v>1.472862572</v>
      </c>
      <c r="N76" s="16">
        <f t="shared" si="2"/>
        <v>73.48648649</v>
      </c>
    </row>
    <row r="77" ht="15.75" customHeight="1">
      <c r="A77" s="9" t="s">
        <v>113</v>
      </c>
      <c r="B77" s="10" t="s">
        <v>58</v>
      </c>
      <c r="C77" s="11">
        <v>46024.0</v>
      </c>
      <c r="D77" s="11">
        <v>46059.0</v>
      </c>
      <c r="E77" s="10" t="s">
        <v>26</v>
      </c>
      <c r="F77" s="12">
        <v>9847.0</v>
      </c>
      <c r="G77" s="13">
        <v>1582.0</v>
      </c>
      <c r="H77" s="13">
        <v>43.0</v>
      </c>
      <c r="I77" s="14">
        <v>6847.9</v>
      </c>
      <c r="J77" s="13">
        <v>23412.0</v>
      </c>
      <c r="K77" s="13">
        <v>632124.0</v>
      </c>
      <c r="L77" s="10" t="s">
        <v>17</v>
      </c>
      <c r="M77" s="15">
        <f t="shared" si="1"/>
        <v>-0.3045699198</v>
      </c>
      <c r="N77" s="16">
        <f t="shared" si="2"/>
        <v>229</v>
      </c>
    </row>
    <row r="78" ht="15.75" customHeight="1">
      <c r="A78" s="9" t="s">
        <v>114</v>
      </c>
      <c r="B78" s="10" t="s">
        <v>19</v>
      </c>
      <c r="C78" s="11">
        <v>46108.0</v>
      </c>
      <c r="D78" s="11">
        <v>46137.0</v>
      </c>
      <c r="E78" s="10" t="s">
        <v>35</v>
      </c>
      <c r="F78" s="12">
        <v>4154.0</v>
      </c>
      <c r="G78" s="13">
        <v>212.0</v>
      </c>
      <c r="H78" s="13">
        <v>56.0</v>
      </c>
      <c r="I78" s="14">
        <v>8751.08</v>
      </c>
      <c r="J78" s="13">
        <v>23627.0</v>
      </c>
      <c r="K78" s="13">
        <v>661556.0</v>
      </c>
      <c r="L78" s="10" t="s">
        <v>17</v>
      </c>
      <c r="M78" s="15">
        <f t="shared" si="1"/>
        <v>1.106663457</v>
      </c>
      <c r="N78" s="16">
        <f t="shared" si="2"/>
        <v>74.17857143</v>
      </c>
    </row>
    <row r="79" ht="15.75" customHeight="1">
      <c r="A79" s="9" t="s">
        <v>115</v>
      </c>
      <c r="B79" s="10" t="s">
        <v>28</v>
      </c>
      <c r="C79" s="11">
        <v>46121.0</v>
      </c>
      <c r="D79" s="11">
        <v>46141.0</v>
      </c>
      <c r="E79" s="10" t="s">
        <v>16</v>
      </c>
      <c r="F79" s="12">
        <v>15203.0</v>
      </c>
      <c r="G79" s="13">
        <v>2766.0</v>
      </c>
      <c r="H79" s="13">
        <v>363.0</v>
      </c>
      <c r="I79" s="14">
        <v>58970.61</v>
      </c>
      <c r="J79" s="13">
        <v>13641.0</v>
      </c>
      <c r="K79" s="13">
        <v>245538.0</v>
      </c>
      <c r="L79" s="10" t="s">
        <v>17</v>
      </c>
      <c r="M79" s="15">
        <f t="shared" si="1"/>
        <v>2.878879826</v>
      </c>
      <c r="N79" s="16">
        <f t="shared" si="2"/>
        <v>41.8815427</v>
      </c>
    </row>
    <row r="80" ht="15.75" customHeight="1">
      <c r="A80" s="9" t="s">
        <v>116</v>
      </c>
      <c r="B80" s="10" t="s">
        <v>52</v>
      </c>
      <c r="C80" s="11">
        <v>46167.0</v>
      </c>
      <c r="D80" s="11">
        <v>46219.0</v>
      </c>
      <c r="E80" s="10" t="s">
        <v>26</v>
      </c>
      <c r="F80" s="12">
        <v>21399.0</v>
      </c>
      <c r="G80" s="13">
        <v>1626.0</v>
      </c>
      <c r="H80" s="13">
        <v>58.0</v>
      </c>
      <c r="I80" s="14">
        <v>7750.23</v>
      </c>
      <c r="J80" s="13">
        <v>50175.0</v>
      </c>
      <c r="K80" s="13">
        <v>752625.0</v>
      </c>
      <c r="L80" s="10" t="s">
        <v>17</v>
      </c>
      <c r="M80" s="15">
        <f t="shared" si="1"/>
        <v>-0.6378227955</v>
      </c>
      <c r="N80" s="16">
        <f t="shared" si="2"/>
        <v>368.9482759</v>
      </c>
    </row>
    <row r="81" ht="15.75" customHeight="1">
      <c r="A81" s="9" t="s">
        <v>117</v>
      </c>
      <c r="B81" s="10" t="s">
        <v>52</v>
      </c>
      <c r="C81" s="11">
        <v>45919.0</v>
      </c>
      <c r="D81" s="11">
        <v>45950.0</v>
      </c>
      <c r="E81" s="10" t="s">
        <v>35</v>
      </c>
      <c r="F81" s="12">
        <v>4204.0</v>
      </c>
      <c r="G81" s="13">
        <v>306.0</v>
      </c>
      <c r="H81" s="13">
        <v>60.0</v>
      </c>
      <c r="I81" s="14">
        <v>6463.89</v>
      </c>
      <c r="J81" s="13">
        <v>18987.0</v>
      </c>
      <c r="K81" s="13">
        <v>360753.0</v>
      </c>
      <c r="L81" s="10" t="s">
        <v>17</v>
      </c>
      <c r="M81" s="15">
        <f t="shared" si="1"/>
        <v>0.5375570885</v>
      </c>
      <c r="N81" s="16">
        <f t="shared" si="2"/>
        <v>70.06666667</v>
      </c>
    </row>
    <row r="82" ht="15.75" customHeight="1">
      <c r="A82" s="9" t="s">
        <v>118</v>
      </c>
      <c r="B82" s="10" t="s">
        <v>56</v>
      </c>
      <c r="C82" s="11">
        <v>45965.0</v>
      </c>
      <c r="D82" s="11">
        <v>45977.0</v>
      </c>
      <c r="E82" s="10" t="s">
        <v>26</v>
      </c>
      <c r="F82" s="12">
        <v>5672.0</v>
      </c>
      <c r="G82" s="13">
        <v>318.0</v>
      </c>
      <c r="H82" s="13">
        <v>7.0</v>
      </c>
      <c r="I82" s="14">
        <v>948.6</v>
      </c>
      <c r="J82" s="13">
        <v>6540.0</v>
      </c>
      <c r="K82" s="13">
        <v>91560.0</v>
      </c>
      <c r="L82" s="10" t="s">
        <v>17</v>
      </c>
      <c r="M82" s="15">
        <f t="shared" si="1"/>
        <v>-0.8327574048</v>
      </c>
      <c r="N82" s="16">
        <f t="shared" si="2"/>
        <v>810.2857143</v>
      </c>
    </row>
    <row r="83" ht="15.75" customHeight="1">
      <c r="A83" s="9" t="s">
        <v>120</v>
      </c>
      <c r="B83" s="10" t="s">
        <v>47</v>
      </c>
      <c r="C83" s="11">
        <v>45843.0</v>
      </c>
      <c r="D83" s="11">
        <v>45900.0</v>
      </c>
      <c r="E83" s="10" t="s">
        <v>26</v>
      </c>
      <c r="F83" s="12">
        <v>6022.0</v>
      </c>
      <c r="G83" s="13">
        <v>385.0</v>
      </c>
      <c r="H83" s="13">
        <v>17.0</v>
      </c>
      <c r="I83" s="14">
        <v>32936.06</v>
      </c>
      <c r="J83" s="13">
        <v>7260.0</v>
      </c>
      <c r="K83" s="13">
        <v>72600.0</v>
      </c>
      <c r="L83" s="10" t="s">
        <v>17</v>
      </c>
      <c r="M83" s="15">
        <f t="shared" si="1"/>
        <v>4.469289273</v>
      </c>
      <c r="N83" s="16">
        <f t="shared" si="2"/>
        <v>354.2352941</v>
      </c>
    </row>
    <row r="84" ht="15.75" customHeight="1">
      <c r="A84" s="9" t="s">
        <v>121</v>
      </c>
      <c r="B84" s="10" t="s">
        <v>62</v>
      </c>
      <c r="C84" s="11">
        <v>46102.0</v>
      </c>
      <c r="D84" s="11">
        <v>46113.0</v>
      </c>
      <c r="E84" s="10" t="s">
        <v>26</v>
      </c>
      <c r="F84" s="12">
        <v>13246.0</v>
      </c>
      <c r="G84" s="13">
        <v>1287.0</v>
      </c>
      <c r="H84" s="13">
        <v>97.0</v>
      </c>
      <c r="I84" s="14">
        <v>16406.48</v>
      </c>
      <c r="J84" s="13">
        <v>26971.0</v>
      </c>
      <c r="K84" s="13">
        <v>701246.0</v>
      </c>
      <c r="L84" s="10" t="s">
        <v>17</v>
      </c>
      <c r="M84" s="15">
        <f t="shared" si="1"/>
        <v>0.2385988223</v>
      </c>
      <c r="N84" s="16">
        <f t="shared" si="2"/>
        <v>136.556701</v>
      </c>
    </row>
    <row r="85" ht="15.75" customHeight="1">
      <c r="A85" s="9" t="s">
        <v>122</v>
      </c>
      <c r="B85" s="10" t="s">
        <v>47</v>
      </c>
      <c r="C85" s="11">
        <v>46052.0</v>
      </c>
      <c r="D85" s="11">
        <v>46092.0</v>
      </c>
      <c r="E85" s="10" t="s">
        <v>26</v>
      </c>
      <c r="F85" s="12">
        <v>12581.0</v>
      </c>
      <c r="G85" s="13">
        <v>838.0</v>
      </c>
      <c r="H85" s="13">
        <v>56.0</v>
      </c>
      <c r="I85" s="14">
        <v>22883.442</v>
      </c>
      <c r="J85" s="13">
        <v>17112.0</v>
      </c>
      <c r="K85" s="13">
        <v>154008.0</v>
      </c>
      <c r="L85" s="10" t="s">
        <v>17</v>
      </c>
      <c r="M85" s="15">
        <f t="shared" si="1"/>
        <v>0.8188889595</v>
      </c>
      <c r="N85" s="16">
        <f t="shared" si="2"/>
        <v>224.6607143</v>
      </c>
    </row>
    <row r="86" ht="15.75" customHeight="1">
      <c r="A86" s="9" t="s">
        <v>123</v>
      </c>
      <c r="B86" s="10" t="s">
        <v>25</v>
      </c>
      <c r="C86" s="11">
        <v>46033.0</v>
      </c>
      <c r="D86" s="11">
        <v>46045.0</v>
      </c>
      <c r="E86" s="10" t="s">
        <v>35</v>
      </c>
      <c r="F86" s="12">
        <v>2784.0</v>
      </c>
      <c r="G86" s="13">
        <v>483.0</v>
      </c>
      <c r="H86" s="13">
        <v>51.0</v>
      </c>
      <c r="I86" s="14">
        <v>2439.9</v>
      </c>
      <c r="J86" s="13">
        <v>5777.0</v>
      </c>
      <c r="K86" s="13">
        <v>132871.0</v>
      </c>
      <c r="L86" s="10" t="s">
        <v>17</v>
      </c>
      <c r="M86" s="15">
        <f t="shared" si="1"/>
        <v>-0.1235991379</v>
      </c>
      <c r="N86" s="16">
        <f t="shared" si="2"/>
        <v>54.58823529</v>
      </c>
    </row>
    <row r="87" ht="15.75" customHeight="1">
      <c r="A87" s="9" t="s">
        <v>124</v>
      </c>
      <c r="B87" s="10" t="s">
        <v>30</v>
      </c>
      <c r="C87" s="11">
        <v>46126.0</v>
      </c>
      <c r="D87" s="11">
        <v>46149.0</v>
      </c>
      <c r="E87" s="10" t="s">
        <v>16</v>
      </c>
      <c r="F87" s="12">
        <v>50399.0</v>
      </c>
      <c r="G87" s="13">
        <v>2610.0</v>
      </c>
      <c r="H87" s="13">
        <v>292.0</v>
      </c>
      <c r="I87" s="14">
        <v>37401.6</v>
      </c>
      <c r="J87" s="13">
        <v>57478.0</v>
      </c>
      <c r="K87" s="13">
        <v>1724340.0</v>
      </c>
      <c r="L87" s="10" t="s">
        <v>17</v>
      </c>
      <c r="M87" s="15">
        <f t="shared" si="1"/>
        <v>-0.2578900375</v>
      </c>
      <c r="N87" s="16">
        <f t="shared" si="2"/>
        <v>172.5993151</v>
      </c>
    </row>
    <row r="88" ht="15.75" customHeight="1">
      <c r="A88" s="9" t="s">
        <v>125</v>
      </c>
      <c r="B88" s="10" t="s">
        <v>75</v>
      </c>
      <c r="C88" s="11">
        <v>45954.0</v>
      </c>
      <c r="D88" s="11">
        <v>45976.0</v>
      </c>
      <c r="E88" s="10" t="s">
        <v>16</v>
      </c>
      <c r="F88" s="12">
        <v>57539.0</v>
      </c>
      <c r="G88" s="13">
        <v>3765.0</v>
      </c>
      <c r="H88" s="13">
        <v>329.0</v>
      </c>
      <c r="I88" s="14">
        <v>32164.14</v>
      </c>
      <c r="J88" s="13">
        <v>81352.0</v>
      </c>
      <c r="K88" s="13">
        <v>2359208.0</v>
      </c>
      <c r="L88" s="10" t="s">
        <v>17</v>
      </c>
      <c r="M88" s="15">
        <f t="shared" si="1"/>
        <v>-0.4410027981</v>
      </c>
      <c r="N88" s="16">
        <f t="shared" si="2"/>
        <v>174.8905775</v>
      </c>
    </row>
    <row r="89" ht="15.75" customHeight="1">
      <c r="A89" s="9" t="s">
        <v>126</v>
      </c>
      <c r="B89" s="10" t="s">
        <v>62</v>
      </c>
      <c r="C89" s="11">
        <v>45894.0</v>
      </c>
      <c r="D89" s="11">
        <v>45936.0</v>
      </c>
      <c r="E89" s="10" t="s">
        <v>26</v>
      </c>
      <c r="F89" s="12">
        <v>21729.0</v>
      </c>
      <c r="G89" s="13">
        <v>1175.0</v>
      </c>
      <c r="H89" s="13">
        <v>1184.0</v>
      </c>
      <c r="I89" s="14">
        <v>23190.26</v>
      </c>
      <c r="J89" s="13">
        <v>65753.0</v>
      </c>
      <c r="K89" s="13">
        <v>789036.0</v>
      </c>
      <c r="L89" s="10" t="s">
        <v>17</v>
      </c>
      <c r="M89" s="15">
        <f t="shared" si="1"/>
        <v>0.06724929817</v>
      </c>
      <c r="N89" s="16">
        <f t="shared" si="2"/>
        <v>18.35219595</v>
      </c>
    </row>
    <row r="90" ht="15.75" customHeight="1">
      <c r="A90" s="9" t="s">
        <v>127</v>
      </c>
      <c r="B90" s="10" t="s">
        <v>75</v>
      </c>
      <c r="C90" s="11">
        <v>45893.0</v>
      </c>
      <c r="D90" s="11">
        <v>45917.0</v>
      </c>
      <c r="E90" s="10" t="s">
        <v>16</v>
      </c>
      <c r="F90" s="12">
        <v>25649.0</v>
      </c>
      <c r="G90" s="13">
        <v>2070.0</v>
      </c>
      <c r="H90" s="13">
        <v>225.0</v>
      </c>
      <c r="I90" s="14">
        <v>40561.66</v>
      </c>
      <c r="J90" s="13">
        <v>22473.0</v>
      </c>
      <c r="K90" s="13">
        <v>494406.0</v>
      </c>
      <c r="L90" s="10" t="s">
        <v>17</v>
      </c>
      <c r="M90" s="15">
        <f t="shared" si="1"/>
        <v>0.5814129206</v>
      </c>
      <c r="N90" s="16">
        <f t="shared" si="2"/>
        <v>113.9955556</v>
      </c>
    </row>
    <row r="91" ht="15.75" customHeight="1">
      <c r="A91" s="9" t="s">
        <v>128</v>
      </c>
      <c r="B91" s="10" t="s">
        <v>56</v>
      </c>
      <c r="C91" s="11">
        <v>46129.0</v>
      </c>
      <c r="D91" s="11">
        <v>46175.0</v>
      </c>
      <c r="E91" s="10" t="s">
        <v>35</v>
      </c>
      <c r="F91" s="12">
        <v>2382.0</v>
      </c>
      <c r="G91" s="13">
        <v>129.0</v>
      </c>
      <c r="H91" s="13">
        <v>17.0</v>
      </c>
      <c r="I91" s="14">
        <v>3253.08</v>
      </c>
      <c r="J91" s="13">
        <v>5297.0</v>
      </c>
      <c r="K91" s="13">
        <v>95346.0</v>
      </c>
      <c r="L91" s="10" t="s">
        <v>17</v>
      </c>
      <c r="M91" s="15">
        <f t="shared" si="1"/>
        <v>0.3656926952</v>
      </c>
      <c r="N91" s="16">
        <f t="shared" si="2"/>
        <v>140.1176471</v>
      </c>
    </row>
    <row r="92" ht="15.75" customHeight="1">
      <c r="A92" s="9" t="s">
        <v>129</v>
      </c>
      <c r="B92" s="10" t="s">
        <v>75</v>
      </c>
      <c r="C92" s="11">
        <v>46007.0</v>
      </c>
      <c r="D92" s="11">
        <v>46029.0</v>
      </c>
      <c r="E92" s="10" t="s">
        <v>35</v>
      </c>
      <c r="F92" s="12">
        <v>893.0</v>
      </c>
      <c r="G92" s="13">
        <v>114.0</v>
      </c>
      <c r="H92" s="13">
        <v>17.0</v>
      </c>
      <c r="I92" s="14">
        <v>2742.66</v>
      </c>
      <c r="J92" s="13">
        <v>3237.0</v>
      </c>
      <c r="K92" s="13">
        <v>55029.0</v>
      </c>
      <c r="L92" s="10" t="s">
        <v>17</v>
      </c>
      <c r="M92" s="15">
        <f t="shared" si="1"/>
        <v>2.071287794</v>
      </c>
      <c r="N92" s="16">
        <f t="shared" si="2"/>
        <v>52.52941176</v>
      </c>
    </row>
    <row r="93" ht="15.75" customHeight="1">
      <c r="A93" s="9" t="s">
        <v>130</v>
      </c>
      <c r="B93" s="10" t="s">
        <v>19</v>
      </c>
      <c r="C93" s="11">
        <v>45951.0</v>
      </c>
      <c r="D93" s="11">
        <v>45962.0</v>
      </c>
      <c r="E93" s="10" t="s">
        <v>16</v>
      </c>
      <c r="F93" s="12">
        <v>38338.0</v>
      </c>
      <c r="G93" s="13">
        <v>2800.0</v>
      </c>
      <c r="H93" s="13">
        <v>195.0</v>
      </c>
      <c r="I93" s="14">
        <v>23589.81</v>
      </c>
      <c r="J93" s="13">
        <v>30726.0</v>
      </c>
      <c r="K93" s="13">
        <v>460890.0</v>
      </c>
      <c r="L93" s="10" t="s">
        <v>17</v>
      </c>
      <c r="M93" s="15">
        <f t="shared" si="1"/>
        <v>-0.3846885597</v>
      </c>
      <c r="N93" s="16">
        <f t="shared" si="2"/>
        <v>196.6051282</v>
      </c>
    </row>
    <row r="94" ht="15.75" customHeight="1">
      <c r="A94" s="9" t="s">
        <v>131</v>
      </c>
      <c r="B94" s="10" t="s">
        <v>19</v>
      </c>
      <c r="C94" s="11">
        <v>46199.0</v>
      </c>
      <c r="D94" s="11">
        <v>46225.0</v>
      </c>
      <c r="E94" s="10" t="s">
        <v>16</v>
      </c>
      <c r="F94" s="12">
        <v>12118.0</v>
      </c>
      <c r="G94" s="13">
        <v>702.0</v>
      </c>
      <c r="H94" s="13">
        <v>118.0</v>
      </c>
      <c r="I94" s="14">
        <v>21988.47</v>
      </c>
      <c r="J94" s="13">
        <v>19793.0</v>
      </c>
      <c r="K94" s="13">
        <v>573997.0</v>
      </c>
      <c r="L94" s="10" t="s">
        <v>17</v>
      </c>
      <c r="M94" s="15">
        <f t="shared" si="1"/>
        <v>0.8145296254</v>
      </c>
      <c r="N94" s="16">
        <f t="shared" si="2"/>
        <v>102.6949153</v>
      </c>
    </row>
    <row r="95" ht="15.75" customHeight="1">
      <c r="A95" s="9" t="s">
        <v>132</v>
      </c>
      <c r="B95" s="10" t="s">
        <v>19</v>
      </c>
      <c r="C95" s="11">
        <v>45867.0</v>
      </c>
      <c r="D95" s="11">
        <v>45899.0</v>
      </c>
      <c r="E95" s="10" t="s">
        <v>16</v>
      </c>
      <c r="F95" s="12">
        <v>15647.0</v>
      </c>
      <c r="G95" s="13">
        <v>3177.0</v>
      </c>
      <c r="H95" s="13">
        <v>370.0</v>
      </c>
      <c r="I95" s="14">
        <v>51254.25</v>
      </c>
      <c r="J95" s="13">
        <v>16353.0</v>
      </c>
      <c r="K95" s="13">
        <v>425178.0</v>
      </c>
      <c r="L95" s="10" t="s">
        <v>17</v>
      </c>
      <c r="M95" s="15">
        <f t="shared" si="1"/>
        <v>2.275659871</v>
      </c>
      <c r="N95" s="16">
        <f t="shared" si="2"/>
        <v>42.28918919</v>
      </c>
    </row>
    <row r="96" ht="15.75" customHeight="1">
      <c r="A96" s="9" t="s">
        <v>133</v>
      </c>
      <c r="B96" s="10" t="s">
        <v>38</v>
      </c>
      <c r="C96" s="11">
        <v>46188.0</v>
      </c>
      <c r="D96" s="11">
        <v>46233.0</v>
      </c>
      <c r="E96" s="10" t="s">
        <v>26</v>
      </c>
      <c r="F96" s="12">
        <v>20171.0</v>
      </c>
      <c r="G96" s="13">
        <v>3419.0</v>
      </c>
      <c r="H96" s="13">
        <v>95.0</v>
      </c>
      <c r="I96" s="14">
        <v>20193.32</v>
      </c>
      <c r="J96" s="13">
        <v>24714.0</v>
      </c>
      <c r="K96" s="13">
        <v>420138.0</v>
      </c>
      <c r="L96" s="10" t="s">
        <v>17</v>
      </c>
      <c r="M96" s="15">
        <f t="shared" si="1"/>
        <v>0.001106539091</v>
      </c>
      <c r="N96" s="16">
        <f t="shared" si="2"/>
        <v>212.3263158</v>
      </c>
    </row>
    <row r="97" ht="15.75" customHeight="1">
      <c r="A97" s="9" t="s">
        <v>134</v>
      </c>
      <c r="B97" s="10" t="s">
        <v>47</v>
      </c>
      <c r="C97" s="11">
        <v>45965.0</v>
      </c>
      <c r="D97" s="11">
        <v>45997.0</v>
      </c>
      <c r="E97" s="10" t="s">
        <v>35</v>
      </c>
      <c r="F97" s="12">
        <v>3635.0</v>
      </c>
      <c r="G97" s="13">
        <v>201.0</v>
      </c>
      <c r="H97" s="13">
        <v>26.0</v>
      </c>
      <c r="I97" s="14">
        <v>44051.6</v>
      </c>
      <c r="J97" s="13">
        <v>16831.0</v>
      </c>
      <c r="K97" s="13">
        <v>252465.0</v>
      </c>
      <c r="L97" s="10" t="s">
        <v>17</v>
      </c>
      <c r="M97" s="15">
        <f t="shared" si="1"/>
        <v>11.11873453</v>
      </c>
      <c r="N97" s="16">
        <f t="shared" si="2"/>
        <v>139.8076923</v>
      </c>
    </row>
    <row r="98" ht="15.75" customHeight="1">
      <c r="A98" s="9" t="s">
        <v>135</v>
      </c>
      <c r="B98" s="10" t="s">
        <v>15</v>
      </c>
      <c r="C98" s="11">
        <v>45863.0</v>
      </c>
      <c r="D98" s="11">
        <v>45881.0</v>
      </c>
      <c r="E98" s="10" t="s">
        <v>35</v>
      </c>
      <c r="F98" s="12">
        <v>1162.0</v>
      </c>
      <c r="G98" s="13">
        <v>155.0</v>
      </c>
      <c r="H98" s="13">
        <v>27.0</v>
      </c>
      <c r="I98" s="14">
        <v>4642.36</v>
      </c>
      <c r="J98" s="13">
        <v>5008.0</v>
      </c>
      <c r="K98" s="13">
        <v>90144.0</v>
      </c>
      <c r="L98" s="10" t="s">
        <v>17</v>
      </c>
      <c r="M98" s="15">
        <f t="shared" si="1"/>
        <v>2.995146299</v>
      </c>
      <c r="N98" s="16">
        <f t="shared" si="2"/>
        <v>43.03703704</v>
      </c>
    </row>
    <row r="99" ht="15.75" customHeight="1">
      <c r="A99" s="9" t="s">
        <v>136</v>
      </c>
      <c r="B99" s="10" t="s">
        <v>75</v>
      </c>
      <c r="C99" s="11">
        <v>45912.0</v>
      </c>
      <c r="D99" s="11">
        <v>45957.0</v>
      </c>
      <c r="E99" s="10" t="s">
        <v>26</v>
      </c>
      <c r="F99" s="12">
        <v>19580.0</v>
      </c>
      <c r="G99" s="13">
        <v>3935.0</v>
      </c>
      <c r="H99" s="13">
        <v>130.0</v>
      </c>
      <c r="I99" s="14">
        <v>30489.62</v>
      </c>
      <c r="J99" s="13">
        <v>40766.0</v>
      </c>
      <c r="K99" s="13">
        <v>774554.0</v>
      </c>
      <c r="L99" s="10" t="s">
        <v>17</v>
      </c>
      <c r="M99" s="15">
        <f t="shared" si="1"/>
        <v>0.5571818182</v>
      </c>
      <c r="N99" s="16">
        <f t="shared" si="2"/>
        <v>150.6153846</v>
      </c>
    </row>
    <row r="100" ht="15.75" customHeight="1">
      <c r="A100" s="9" t="s">
        <v>137</v>
      </c>
      <c r="B100" s="10" t="s">
        <v>15</v>
      </c>
      <c r="C100" s="11">
        <v>46048.0</v>
      </c>
      <c r="D100" s="11">
        <v>46060.0</v>
      </c>
      <c r="E100" s="10" t="s">
        <v>35</v>
      </c>
      <c r="F100" s="12">
        <v>3256.0</v>
      </c>
      <c r="G100" s="13">
        <v>281.0</v>
      </c>
      <c r="H100" s="13">
        <v>49.0</v>
      </c>
      <c r="I100" s="14">
        <v>8983.21</v>
      </c>
      <c r="J100" s="13">
        <v>7863.0</v>
      </c>
      <c r="K100" s="13">
        <v>165123.0</v>
      </c>
      <c r="L100" s="10" t="s">
        <v>17</v>
      </c>
      <c r="M100" s="15">
        <f t="shared" si="1"/>
        <v>1.75897113</v>
      </c>
      <c r="N100" s="16">
        <f t="shared" si="2"/>
        <v>66.44897959</v>
      </c>
    </row>
    <row r="101" ht="15.75" customHeight="1">
      <c r="A101" s="9" t="s">
        <v>138</v>
      </c>
      <c r="B101" s="10" t="s">
        <v>75</v>
      </c>
      <c r="C101" s="11">
        <v>45879.0</v>
      </c>
      <c r="D101" s="11">
        <v>45910.0</v>
      </c>
      <c r="E101" s="10" t="s">
        <v>26</v>
      </c>
      <c r="F101" s="12">
        <v>14659.0</v>
      </c>
      <c r="G101" s="13">
        <v>2079.0</v>
      </c>
      <c r="H101" s="13">
        <v>53.0</v>
      </c>
      <c r="I101" s="14">
        <v>5215.91</v>
      </c>
      <c r="J101" s="13">
        <v>19950.0</v>
      </c>
      <c r="K101" s="13">
        <v>578550.0</v>
      </c>
      <c r="L101" s="10" t="s">
        <v>17</v>
      </c>
      <c r="M101" s="15">
        <f t="shared" si="1"/>
        <v>-0.6441837779</v>
      </c>
      <c r="N101" s="16">
        <f t="shared" si="2"/>
        <v>276.5849057</v>
      </c>
    </row>
    <row r="102" ht="15.75" customHeight="1">
      <c r="A102" s="9" t="s">
        <v>139</v>
      </c>
      <c r="B102" s="10" t="s">
        <v>30</v>
      </c>
      <c r="C102" s="11">
        <v>45846.0</v>
      </c>
      <c r="D102" s="11">
        <v>45862.0</v>
      </c>
      <c r="E102" s="10" t="s">
        <v>26</v>
      </c>
      <c r="F102" s="12">
        <v>8726.0</v>
      </c>
      <c r="G102" s="13">
        <v>436.0</v>
      </c>
      <c r="H102" s="13">
        <v>33.0</v>
      </c>
      <c r="I102" s="14">
        <v>3981.31</v>
      </c>
      <c r="J102" s="13">
        <v>23558.0</v>
      </c>
      <c r="K102" s="13">
        <v>400486.0</v>
      </c>
      <c r="L102" s="10" t="s">
        <v>17</v>
      </c>
      <c r="M102" s="15">
        <f t="shared" si="1"/>
        <v>-0.5437416915</v>
      </c>
      <c r="N102" s="16">
        <f t="shared" si="2"/>
        <v>264.4242424</v>
      </c>
    </row>
    <row r="103" ht="15.75" customHeight="1">
      <c r="A103" s="9" t="s">
        <v>140</v>
      </c>
      <c r="B103" s="10" t="s">
        <v>38</v>
      </c>
      <c r="C103" s="11">
        <v>46093.0</v>
      </c>
      <c r="D103" s="11">
        <v>46125.0</v>
      </c>
      <c r="E103" s="10" t="s">
        <v>26</v>
      </c>
      <c r="F103" s="12">
        <v>5731.0</v>
      </c>
      <c r="G103" s="13">
        <v>354.0</v>
      </c>
      <c r="H103" s="13">
        <v>24.0</v>
      </c>
      <c r="I103" s="14">
        <v>2256.4</v>
      </c>
      <c r="J103" s="13">
        <v>7813.0</v>
      </c>
      <c r="K103" s="13">
        <v>62504.0</v>
      </c>
      <c r="L103" s="10" t="s">
        <v>17</v>
      </c>
      <c r="M103" s="15">
        <f t="shared" si="1"/>
        <v>-0.6062816262</v>
      </c>
      <c r="N103" s="16">
        <f t="shared" si="2"/>
        <v>238.7916667</v>
      </c>
    </row>
    <row r="104" ht="15.75" customHeight="1">
      <c r="A104" s="9" t="s">
        <v>141</v>
      </c>
      <c r="B104" s="10" t="s">
        <v>25</v>
      </c>
      <c r="C104" s="11">
        <v>45939.0</v>
      </c>
      <c r="D104" s="11">
        <v>45963.0</v>
      </c>
      <c r="E104" s="10" t="s">
        <v>26</v>
      </c>
      <c r="F104" s="12">
        <v>10037.0</v>
      </c>
      <c r="G104" s="13">
        <v>837.0</v>
      </c>
      <c r="H104" s="13">
        <v>35.0</v>
      </c>
      <c r="I104" s="14">
        <v>5920.11</v>
      </c>
      <c r="J104" s="13">
        <v>12545.0</v>
      </c>
      <c r="K104" s="13">
        <v>288535.0</v>
      </c>
      <c r="L104" s="10" t="s">
        <v>17</v>
      </c>
      <c r="M104" s="15">
        <f t="shared" si="1"/>
        <v>-0.4101713659</v>
      </c>
      <c r="N104" s="16">
        <f t="shared" si="2"/>
        <v>286.7714286</v>
      </c>
    </row>
    <row r="105" ht="15.75" customHeight="1">
      <c r="A105" s="9" t="s">
        <v>142</v>
      </c>
      <c r="B105" s="10" t="s">
        <v>62</v>
      </c>
      <c r="C105" s="11">
        <v>46089.0</v>
      </c>
      <c r="D105" s="11">
        <v>46103.0</v>
      </c>
      <c r="E105" s="10" t="s">
        <v>35</v>
      </c>
      <c r="F105" s="12">
        <v>1281.0</v>
      </c>
      <c r="G105" s="13">
        <v>246.0</v>
      </c>
      <c r="H105" s="13">
        <v>50.0</v>
      </c>
      <c r="I105" s="14">
        <v>12921.48</v>
      </c>
      <c r="J105" s="13">
        <v>2887.0</v>
      </c>
      <c r="K105" s="13">
        <v>40418.0</v>
      </c>
      <c r="L105" s="10" t="s">
        <v>17</v>
      </c>
      <c r="M105" s="15">
        <f t="shared" si="1"/>
        <v>9.087025761</v>
      </c>
      <c r="N105" s="16">
        <f t="shared" si="2"/>
        <v>25.62</v>
      </c>
    </row>
    <row r="106" ht="15.75" customHeight="1">
      <c r="A106" s="9" t="s">
        <v>143</v>
      </c>
      <c r="B106" s="10" t="s">
        <v>52</v>
      </c>
      <c r="C106" s="11">
        <v>45930.0</v>
      </c>
      <c r="D106" s="11">
        <v>45939.0</v>
      </c>
      <c r="E106" s="10" t="s">
        <v>35</v>
      </c>
      <c r="F106" s="12">
        <v>1589.0</v>
      </c>
      <c r="G106" s="13">
        <v>114.0</v>
      </c>
      <c r="H106" s="13">
        <v>23.0</v>
      </c>
      <c r="I106" s="14">
        <v>2005.55</v>
      </c>
      <c r="J106" s="13">
        <v>6780.0</v>
      </c>
      <c r="K106" s="13">
        <v>101700.0</v>
      </c>
      <c r="L106" s="10" t="s">
        <v>17</v>
      </c>
      <c r="M106" s="15">
        <f t="shared" si="1"/>
        <v>0.2621460038</v>
      </c>
      <c r="N106" s="16">
        <f t="shared" si="2"/>
        <v>69.08695652</v>
      </c>
    </row>
    <row r="107" ht="15.75" customHeight="1">
      <c r="A107" s="9" t="s">
        <v>144</v>
      </c>
      <c r="B107" s="10" t="s">
        <v>28</v>
      </c>
      <c r="C107" s="11">
        <v>46171.0</v>
      </c>
      <c r="D107" s="11">
        <v>46222.0</v>
      </c>
      <c r="E107" s="10" t="s">
        <v>35</v>
      </c>
      <c r="F107" s="12">
        <v>1059.0</v>
      </c>
      <c r="G107" s="13">
        <v>82.0</v>
      </c>
      <c r="H107" s="13">
        <v>9.0</v>
      </c>
      <c r="I107" s="14">
        <v>440.88</v>
      </c>
      <c r="J107" s="13">
        <v>3745.0</v>
      </c>
      <c r="K107" s="13">
        <v>97370.0</v>
      </c>
      <c r="L107" s="10" t="s">
        <v>17</v>
      </c>
      <c r="M107" s="15">
        <f t="shared" si="1"/>
        <v>-0.5836827195</v>
      </c>
      <c r="N107" s="16">
        <f t="shared" si="2"/>
        <v>117.6666667</v>
      </c>
    </row>
    <row r="108" ht="15.75" customHeight="1">
      <c r="A108" s="9" t="s">
        <v>145</v>
      </c>
      <c r="B108" s="10" t="s">
        <v>52</v>
      </c>
      <c r="C108" s="11">
        <v>46193.0</v>
      </c>
      <c r="D108" s="11">
        <v>46252.0</v>
      </c>
      <c r="E108" s="10" t="s">
        <v>26</v>
      </c>
      <c r="F108" s="12">
        <v>21072.0</v>
      </c>
      <c r="G108" s="13">
        <v>4060.0</v>
      </c>
      <c r="H108" s="13">
        <v>197.0</v>
      </c>
      <c r="I108" s="14">
        <v>175767.63</v>
      </c>
      <c r="J108" s="13">
        <v>64256.0</v>
      </c>
      <c r="K108" s="13">
        <v>1670656.0</v>
      </c>
      <c r="L108" s="10" t="s">
        <v>17</v>
      </c>
      <c r="M108" s="15">
        <f t="shared" si="1"/>
        <v>7.34128844</v>
      </c>
      <c r="N108" s="16">
        <f t="shared" si="2"/>
        <v>106.964467</v>
      </c>
    </row>
    <row r="109" ht="15.75" customHeight="1">
      <c r="A109" s="9" t="s">
        <v>146</v>
      </c>
      <c r="B109" s="10" t="s">
        <v>75</v>
      </c>
      <c r="C109" s="11">
        <v>46127.0</v>
      </c>
      <c r="D109" s="11">
        <v>46145.0</v>
      </c>
      <c r="E109" s="10" t="s">
        <v>26</v>
      </c>
      <c r="F109" s="12">
        <v>21069.0</v>
      </c>
      <c r="G109" s="13">
        <v>1148.0</v>
      </c>
      <c r="H109" s="13">
        <v>80.0</v>
      </c>
      <c r="I109" s="14">
        <v>8989.61</v>
      </c>
      <c r="J109" s="13">
        <v>39492.0</v>
      </c>
      <c r="K109" s="13">
        <v>750348.0</v>
      </c>
      <c r="L109" s="10" t="s">
        <v>17</v>
      </c>
      <c r="M109" s="15">
        <f t="shared" si="1"/>
        <v>-0.5733252646</v>
      </c>
      <c r="N109" s="16">
        <f t="shared" si="2"/>
        <v>263.3625</v>
      </c>
    </row>
    <row r="110" ht="15.75" customHeight="1">
      <c r="A110" s="9" t="s">
        <v>147</v>
      </c>
      <c r="B110" s="10" t="s">
        <v>15</v>
      </c>
      <c r="C110" s="11">
        <v>46153.0</v>
      </c>
      <c r="D110" s="11">
        <v>46194.0</v>
      </c>
      <c r="E110" s="10" t="s">
        <v>16</v>
      </c>
      <c r="F110" s="12">
        <v>32998.0</v>
      </c>
      <c r="G110" s="13">
        <v>2332.0</v>
      </c>
      <c r="H110" s="13">
        <v>410.0</v>
      </c>
      <c r="I110" s="14">
        <v>73969.82</v>
      </c>
      <c r="J110" s="13">
        <v>39930.0</v>
      </c>
      <c r="K110" s="13">
        <v>1038180.0</v>
      </c>
      <c r="L110" s="10" t="s">
        <v>17</v>
      </c>
      <c r="M110" s="15">
        <f t="shared" si="1"/>
        <v>1.241645554</v>
      </c>
      <c r="N110" s="16">
        <f t="shared" si="2"/>
        <v>80.48292683</v>
      </c>
    </row>
    <row r="111" ht="15.75" customHeight="1">
      <c r="A111" s="9" t="s">
        <v>148</v>
      </c>
      <c r="B111" s="10" t="s">
        <v>19</v>
      </c>
      <c r="C111" s="11">
        <v>45881.0</v>
      </c>
      <c r="D111" s="11">
        <v>45901.0</v>
      </c>
      <c r="E111" s="10" t="s">
        <v>35</v>
      </c>
      <c r="F111" s="12">
        <v>2063.0</v>
      </c>
      <c r="G111" s="13">
        <v>318.0</v>
      </c>
      <c r="H111" s="13">
        <v>55.0</v>
      </c>
      <c r="I111" s="14">
        <v>6060.17</v>
      </c>
      <c r="J111" s="13">
        <v>4861.0</v>
      </c>
      <c r="K111" s="13">
        <v>53471.0</v>
      </c>
      <c r="L111" s="10" t="s">
        <v>17</v>
      </c>
      <c r="M111" s="15">
        <f t="shared" si="1"/>
        <v>1.937552109</v>
      </c>
      <c r="N111" s="16">
        <f t="shared" si="2"/>
        <v>37.50909091</v>
      </c>
    </row>
    <row r="112" ht="15.75" customHeight="1">
      <c r="A112" s="9" t="s">
        <v>149</v>
      </c>
      <c r="B112" s="10" t="s">
        <v>25</v>
      </c>
      <c r="C112" s="11">
        <v>45891.0</v>
      </c>
      <c r="D112" s="11">
        <v>45895.0</v>
      </c>
      <c r="E112" s="10" t="s">
        <v>16</v>
      </c>
      <c r="F112" s="12">
        <v>12873.0</v>
      </c>
      <c r="G112" s="13">
        <v>948.0</v>
      </c>
      <c r="H112" s="13">
        <v>91.0</v>
      </c>
      <c r="I112" s="14">
        <v>9105.94</v>
      </c>
      <c r="J112" s="13">
        <v>21705.0</v>
      </c>
      <c r="K112" s="13">
        <v>325575.0</v>
      </c>
      <c r="L112" s="10" t="s">
        <v>17</v>
      </c>
      <c r="M112" s="15">
        <f t="shared" si="1"/>
        <v>-0.292632642</v>
      </c>
      <c r="N112" s="16">
        <f t="shared" si="2"/>
        <v>141.4615385</v>
      </c>
    </row>
    <row r="113" ht="15.75" customHeight="1">
      <c r="A113" s="9" t="s">
        <v>150</v>
      </c>
      <c r="B113" s="10" t="s">
        <v>38</v>
      </c>
      <c r="C113" s="11">
        <v>45976.0</v>
      </c>
      <c r="D113" s="11">
        <v>46010.0</v>
      </c>
      <c r="E113" s="10" t="s">
        <v>26</v>
      </c>
      <c r="F113" s="12">
        <v>7281.0</v>
      </c>
      <c r="G113" s="13">
        <v>678.0</v>
      </c>
      <c r="H113" s="13">
        <v>16.0</v>
      </c>
      <c r="I113" s="14">
        <v>1844.65</v>
      </c>
      <c r="J113" s="13">
        <v>12983.0</v>
      </c>
      <c r="K113" s="13">
        <v>181762.0</v>
      </c>
      <c r="L113" s="10" t="s">
        <v>17</v>
      </c>
      <c r="M113" s="15">
        <f t="shared" si="1"/>
        <v>-0.746648812</v>
      </c>
      <c r="N113" s="16">
        <f t="shared" si="2"/>
        <v>455.0625</v>
      </c>
    </row>
    <row r="114" ht="15.75" customHeight="1">
      <c r="A114" s="9" t="s">
        <v>151</v>
      </c>
      <c r="B114" s="10" t="s">
        <v>58</v>
      </c>
      <c r="C114" s="11">
        <v>46156.0</v>
      </c>
      <c r="D114" s="11">
        <v>46183.0</v>
      </c>
      <c r="E114" s="10" t="s">
        <v>26</v>
      </c>
      <c r="F114" s="12">
        <v>13298.0</v>
      </c>
      <c r="G114" s="13">
        <v>774.0</v>
      </c>
      <c r="H114" s="13">
        <v>35.0</v>
      </c>
      <c r="I114" s="14">
        <v>5752.54</v>
      </c>
      <c r="J114" s="13">
        <v>23815.0</v>
      </c>
      <c r="K114" s="13">
        <v>309595.0</v>
      </c>
      <c r="L114" s="10" t="s">
        <v>17</v>
      </c>
      <c r="M114" s="15">
        <f t="shared" si="1"/>
        <v>-0.5674131448</v>
      </c>
      <c r="N114" s="16">
        <f t="shared" si="2"/>
        <v>379.9428571</v>
      </c>
    </row>
    <row r="115" ht="15.75" customHeight="1">
      <c r="A115" s="9" t="s">
        <v>152</v>
      </c>
      <c r="B115" s="10" t="s">
        <v>56</v>
      </c>
      <c r="C115" s="11">
        <v>46133.0</v>
      </c>
      <c r="D115" s="11">
        <v>46186.0</v>
      </c>
      <c r="E115" s="10" t="s">
        <v>16</v>
      </c>
      <c r="F115" s="12">
        <v>22887.0</v>
      </c>
      <c r="G115" s="13">
        <v>1380.0</v>
      </c>
      <c r="H115" s="13">
        <v>127.0</v>
      </c>
      <c r="I115" s="14">
        <v>15764.33</v>
      </c>
      <c r="J115" s="13">
        <v>29331.0</v>
      </c>
      <c r="K115" s="13">
        <v>234648.0</v>
      </c>
      <c r="L115" s="10" t="s">
        <v>17</v>
      </c>
      <c r="M115" s="15">
        <f t="shared" si="1"/>
        <v>-0.3112102941</v>
      </c>
      <c r="N115" s="16">
        <f t="shared" si="2"/>
        <v>180.2125984</v>
      </c>
    </row>
    <row r="116" ht="15.75" customHeight="1">
      <c r="A116" s="9" t="s">
        <v>153</v>
      </c>
      <c r="B116" s="10" t="s">
        <v>58</v>
      </c>
      <c r="C116" s="11">
        <v>46193.0</v>
      </c>
      <c r="D116" s="11">
        <v>46200.0</v>
      </c>
      <c r="E116" s="10" t="s">
        <v>35</v>
      </c>
      <c r="F116" s="12">
        <v>4151.0</v>
      </c>
      <c r="G116" s="13">
        <v>469.0</v>
      </c>
      <c r="H116" s="13">
        <v>110.0</v>
      </c>
      <c r="I116" s="14">
        <v>9023.54</v>
      </c>
      <c r="J116" s="13">
        <v>20889.0</v>
      </c>
      <c r="K116" s="13">
        <v>543114.0</v>
      </c>
      <c r="L116" s="10" t="s">
        <v>17</v>
      </c>
      <c r="M116" s="15">
        <f t="shared" si="1"/>
        <v>1.173823175</v>
      </c>
      <c r="N116" s="16">
        <f t="shared" si="2"/>
        <v>37.73636364</v>
      </c>
    </row>
    <row r="117" ht="15.75" customHeight="1">
      <c r="A117" s="9" t="s">
        <v>154</v>
      </c>
      <c r="B117" s="10" t="s">
        <v>75</v>
      </c>
      <c r="C117" s="11">
        <v>45857.0</v>
      </c>
      <c r="D117" s="11">
        <v>45910.0</v>
      </c>
      <c r="E117" s="10" t="s">
        <v>16</v>
      </c>
      <c r="F117" s="12">
        <v>30562.0</v>
      </c>
      <c r="G117" s="13">
        <v>2263.0</v>
      </c>
      <c r="H117" s="13">
        <v>319.0</v>
      </c>
      <c r="I117" s="14">
        <v>58286.23</v>
      </c>
      <c r="J117" s="13">
        <v>23288.0</v>
      </c>
      <c r="K117" s="13">
        <v>605488.0</v>
      </c>
      <c r="L117" s="10" t="s">
        <v>17</v>
      </c>
      <c r="M117" s="15">
        <f t="shared" si="1"/>
        <v>0.9071471108</v>
      </c>
      <c r="N117" s="16">
        <f t="shared" si="2"/>
        <v>95.80564263</v>
      </c>
    </row>
    <row r="118" ht="15.75" customHeight="1">
      <c r="A118" s="9" t="s">
        <v>155</v>
      </c>
      <c r="B118" s="10" t="s">
        <v>56</v>
      </c>
      <c r="C118" s="11">
        <v>46015.0</v>
      </c>
      <c r="D118" s="11">
        <v>46019.0</v>
      </c>
      <c r="E118" s="10" t="s">
        <v>16</v>
      </c>
      <c r="F118" s="12">
        <v>38638.0</v>
      </c>
      <c r="G118" s="13">
        <v>1992.0</v>
      </c>
      <c r="H118" s="13">
        <v>126.0</v>
      </c>
      <c r="I118" s="14">
        <v>9555.84</v>
      </c>
      <c r="J118" s="13">
        <v>42182.0</v>
      </c>
      <c r="K118" s="13">
        <v>970186.0</v>
      </c>
      <c r="L118" s="10" t="s">
        <v>17</v>
      </c>
      <c r="M118" s="15">
        <f t="shared" si="1"/>
        <v>-0.7526828511</v>
      </c>
      <c r="N118" s="16">
        <f t="shared" si="2"/>
        <v>306.6507937</v>
      </c>
    </row>
    <row r="119" ht="15.75" customHeight="1">
      <c r="A119" s="9" t="s">
        <v>156</v>
      </c>
      <c r="B119" s="10" t="s">
        <v>25</v>
      </c>
      <c r="C119" s="11">
        <v>45992.0</v>
      </c>
      <c r="D119" s="11">
        <v>45997.0</v>
      </c>
      <c r="E119" s="10" t="s">
        <v>26</v>
      </c>
      <c r="F119" s="12">
        <v>6271.0</v>
      </c>
      <c r="G119" s="13">
        <v>1090.0</v>
      </c>
      <c r="H119" s="13">
        <v>23.0</v>
      </c>
      <c r="I119" s="14">
        <v>4799.84</v>
      </c>
      <c r="J119" s="13">
        <v>12397.0</v>
      </c>
      <c r="K119" s="13">
        <v>260337.0</v>
      </c>
      <c r="L119" s="10" t="s">
        <v>17</v>
      </c>
      <c r="M119" s="15">
        <f t="shared" si="1"/>
        <v>-0.2345973529</v>
      </c>
      <c r="N119" s="16">
        <f t="shared" si="2"/>
        <v>272.6521739</v>
      </c>
    </row>
    <row r="120" ht="15.75" customHeight="1">
      <c r="A120" s="9" t="s">
        <v>157</v>
      </c>
      <c r="B120" s="10" t="s">
        <v>75</v>
      </c>
      <c r="C120" s="11">
        <v>46175.0</v>
      </c>
      <c r="D120" s="11">
        <v>46205.0</v>
      </c>
      <c r="E120" s="10" t="s">
        <v>26</v>
      </c>
      <c r="F120" s="12">
        <v>15462.0</v>
      </c>
      <c r="G120" s="13">
        <v>2160.0</v>
      </c>
      <c r="H120" s="13">
        <v>46.0</v>
      </c>
      <c r="I120" s="14">
        <v>6674.13</v>
      </c>
      <c r="J120" s="13">
        <v>23130.0</v>
      </c>
      <c r="K120" s="13">
        <v>231300.0</v>
      </c>
      <c r="L120" s="10" t="s">
        <v>17</v>
      </c>
      <c r="M120" s="15">
        <f t="shared" si="1"/>
        <v>-0.5683527357</v>
      </c>
      <c r="N120" s="16">
        <f t="shared" si="2"/>
        <v>336.1304348</v>
      </c>
    </row>
    <row r="121" ht="15.75" customHeight="1">
      <c r="A121" s="9" t="s">
        <v>158</v>
      </c>
      <c r="B121" s="10" t="s">
        <v>47</v>
      </c>
      <c r="C121" s="11">
        <v>46073.0</v>
      </c>
      <c r="D121" s="11">
        <v>46083.0</v>
      </c>
      <c r="E121" s="10" t="s">
        <v>26</v>
      </c>
      <c r="F121" s="12">
        <v>11096.0</v>
      </c>
      <c r="G121" s="13">
        <v>570.0</v>
      </c>
      <c r="H121" s="13">
        <v>34.0</v>
      </c>
      <c r="I121" s="14">
        <v>3342.75</v>
      </c>
      <c r="J121" s="13">
        <v>18689.0</v>
      </c>
      <c r="K121" s="13">
        <v>242957.0</v>
      </c>
      <c r="L121" s="10" t="s">
        <v>17</v>
      </c>
      <c r="M121" s="15">
        <f t="shared" si="1"/>
        <v>-0.6987427902</v>
      </c>
      <c r="N121" s="16">
        <f t="shared" si="2"/>
        <v>326.3529412</v>
      </c>
    </row>
    <row r="122" ht="15.75" customHeight="1">
      <c r="A122" s="9" t="s">
        <v>159</v>
      </c>
      <c r="B122" s="10" t="s">
        <v>25</v>
      </c>
      <c r="C122" s="11">
        <v>46183.0</v>
      </c>
      <c r="D122" s="11">
        <v>46194.0</v>
      </c>
      <c r="E122" s="10" t="s">
        <v>16</v>
      </c>
      <c r="F122" s="12">
        <v>27524.0</v>
      </c>
      <c r="G122" s="13">
        <v>3972.0</v>
      </c>
      <c r="H122" s="13">
        <v>259.0</v>
      </c>
      <c r="I122" s="14">
        <v>43487.55</v>
      </c>
      <c r="J122" s="13">
        <v>34175.0</v>
      </c>
      <c r="K122" s="13">
        <v>956900.0</v>
      </c>
      <c r="L122" s="10" t="s">
        <v>17</v>
      </c>
      <c r="M122" s="15">
        <f t="shared" si="1"/>
        <v>0.5799865572</v>
      </c>
      <c r="N122" s="16">
        <f t="shared" si="2"/>
        <v>106.2702703</v>
      </c>
    </row>
    <row r="123" ht="15.75" customHeight="1">
      <c r="A123" s="9" t="s">
        <v>160</v>
      </c>
      <c r="B123" s="10" t="s">
        <v>56</v>
      </c>
      <c r="C123" s="11">
        <v>46089.0</v>
      </c>
      <c r="D123" s="11">
        <v>46110.0</v>
      </c>
      <c r="E123" s="10" t="s">
        <v>16</v>
      </c>
      <c r="F123" s="12">
        <v>16194.0</v>
      </c>
      <c r="G123" s="13">
        <v>1164.0</v>
      </c>
      <c r="H123" s="13">
        <v>86.0</v>
      </c>
      <c r="I123" s="14">
        <v>19148.76</v>
      </c>
      <c r="J123" s="13">
        <v>12067.0</v>
      </c>
      <c r="K123" s="13">
        <v>337876.0</v>
      </c>
      <c r="L123" s="10" t="s">
        <v>17</v>
      </c>
      <c r="M123" s="15">
        <f t="shared" si="1"/>
        <v>0.1824601704</v>
      </c>
      <c r="N123" s="16">
        <f t="shared" si="2"/>
        <v>188.3023256</v>
      </c>
    </row>
    <row r="124" ht="15.75" customHeight="1">
      <c r="A124" s="9" t="s">
        <v>161</v>
      </c>
      <c r="B124" s="10" t="s">
        <v>75</v>
      </c>
      <c r="C124" s="11">
        <v>45881.0</v>
      </c>
      <c r="D124" s="11">
        <v>45920.0</v>
      </c>
      <c r="E124" s="10" t="s">
        <v>16</v>
      </c>
      <c r="F124" s="12">
        <v>9022.0</v>
      </c>
      <c r="G124" s="13">
        <v>1994.0</v>
      </c>
      <c r="H124" s="13">
        <v>306.0</v>
      </c>
      <c r="I124" s="14">
        <v>24785.73</v>
      </c>
      <c r="J124" s="13">
        <v>12521.0</v>
      </c>
      <c r="K124" s="13">
        <v>300504.0</v>
      </c>
      <c r="L124" s="10" t="s">
        <v>17</v>
      </c>
      <c r="M124" s="15">
        <f t="shared" si="1"/>
        <v>1.747254489</v>
      </c>
      <c r="N124" s="16">
        <f t="shared" si="2"/>
        <v>29.48366013</v>
      </c>
    </row>
    <row r="125" ht="15.75" customHeight="1">
      <c r="A125" s="9" t="s">
        <v>162</v>
      </c>
      <c r="B125" s="10" t="s">
        <v>30</v>
      </c>
      <c r="C125" s="11">
        <v>45960.0</v>
      </c>
      <c r="D125" s="11">
        <v>45976.0</v>
      </c>
      <c r="E125" s="10" t="s">
        <v>35</v>
      </c>
      <c r="F125" s="12">
        <v>3672.0</v>
      </c>
      <c r="G125" s="13">
        <v>338.0</v>
      </c>
      <c r="H125" s="13">
        <v>92.0</v>
      </c>
      <c r="I125" s="14">
        <v>15320.89</v>
      </c>
      <c r="J125" s="13">
        <v>10099.0</v>
      </c>
      <c r="K125" s="13">
        <v>272673.0</v>
      </c>
      <c r="L125" s="10" t="s">
        <v>17</v>
      </c>
      <c r="M125" s="15">
        <f t="shared" si="1"/>
        <v>3.172355664</v>
      </c>
      <c r="N125" s="16">
        <f t="shared" si="2"/>
        <v>39.91304348</v>
      </c>
    </row>
    <row r="126" ht="15.75" customHeight="1">
      <c r="A126" s="9" t="s">
        <v>163</v>
      </c>
      <c r="B126" s="10" t="s">
        <v>62</v>
      </c>
      <c r="C126" s="11">
        <v>46102.0</v>
      </c>
      <c r="D126" s="11">
        <v>46162.0</v>
      </c>
      <c r="E126" s="10" t="s">
        <v>16</v>
      </c>
      <c r="F126" s="12">
        <v>51518.0</v>
      </c>
      <c r="G126" s="13">
        <v>3219.0</v>
      </c>
      <c r="H126" s="13">
        <v>502.0</v>
      </c>
      <c r="I126" s="14">
        <v>52022.41</v>
      </c>
      <c r="J126" s="13">
        <v>81055.0</v>
      </c>
      <c r="K126" s="13">
        <v>972660.0</v>
      </c>
      <c r="L126" s="10" t="s">
        <v>17</v>
      </c>
      <c r="M126" s="15">
        <f t="shared" si="1"/>
        <v>0.009790946854</v>
      </c>
      <c r="N126" s="16">
        <f t="shared" si="2"/>
        <v>102.625498</v>
      </c>
    </row>
    <row r="127" ht="15.75" customHeight="1">
      <c r="A127" s="9" t="s">
        <v>164</v>
      </c>
      <c r="B127" s="10" t="s">
        <v>58</v>
      </c>
      <c r="C127" s="11">
        <v>45911.0</v>
      </c>
      <c r="D127" s="11">
        <v>45950.0</v>
      </c>
      <c r="E127" s="10" t="s">
        <v>26</v>
      </c>
      <c r="F127" s="12">
        <v>23222.0</v>
      </c>
      <c r="G127" s="13">
        <v>2067.0</v>
      </c>
      <c r="H127" s="13">
        <v>74.0</v>
      </c>
      <c r="I127" s="14">
        <v>12881.93</v>
      </c>
      <c r="J127" s="13">
        <v>42334.0</v>
      </c>
      <c r="K127" s="13">
        <v>804346.0</v>
      </c>
      <c r="L127" s="10" t="s">
        <v>17</v>
      </c>
      <c r="M127" s="15">
        <f t="shared" si="1"/>
        <v>-0.4452704332</v>
      </c>
      <c r="N127" s="16">
        <f t="shared" si="2"/>
        <v>313.8108108</v>
      </c>
    </row>
    <row r="128" ht="15.75" customHeight="1">
      <c r="A128" s="9" t="s">
        <v>165</v>
      </c>
      <c r="B128" s="10" t="s">
        <v>75</v>
      </c>
      <c r="C128" s="11">
        <v>46073.0</v>
      </c>
      <c r="D128" s="11">
        <v>46116.0</v>
      </c>
      <c r="E128" s="10" t="s">
        <v>26</v>
      </c>
      <c r="F128" s="12">
        <v>24262.0</v>
      </c>
      <c r="G128" s="13">
        <v>1450.0</v>
      </c>
      <c r="H128" s="13">
        <v>89.0</v>
      </c>
      <c r="I128" s="14">
        <v>11720.41</v>
      </c>
      <c r="J128" s="13">
        <v>29950.0</v>
      </c>
      <c r="K128" s="13">
        <v>748750.0</v>
      </c>
      <c r="L128" s="10" t="s">
        <v>17</v>
      </c>
      <c r="M128" s="15">
        <f t="shared" si="1"/>
        <v>-0.516923172</v>
      </c>
      <c r="N128" s="16">
        <f t="shared" si="2"/>
        <v>272.6067416</v>
      </c>
    </row>
    <row r="129" ht="15.75" customHeight="1">
      <c r="A129" s="9" t="s">
        <v>166</v>
      </c>
      <c r="B129" s="10" t="s">
        <v>52</v>
      </c>
      <c r="C129" s="11">
        <v>46199.0</v>
      </c>
      <c r="D129" s="11">
        <v>46208.0</v>
      </c>
      <c r="E129" s="10" t="s">
        <v>35</v>
      </c>
      <c r="F129" s="12">
        <v>808.0</v>
      </c>
      <c r="G129" s="13">
        <v>59.0</v>
      </c>
      <c r="H129" s="13">
        <v>8.0</v>
      </c>
      <c r="I129" s="14">
        <v>472.74</v>
      </c>
      <c r="J129" s="13">
        <v>4557.0</v>
      </c>
      <c r="K129" s="13">
        <v>104811.0</v>
      </c>
      <c r="L129" s="10" t="s">
        <v>17</v>
      </c>
      <c r="M129" s="15">
        <f t="shared" si="1"/>
        <v>-0.4149257426</v>
      </c>
      <c r="N129" s="16">
        <f t="shared" si="2"/>
        <v>101</v>
      </c>
    </row>
    <row r="130" ht="15.75" customHeight="1">
      <c r="A130" s="9" t="s">
        <v>167</v>
      </c>
      <c r="B130" s="10" t="s">
        <v>15</v>
      </c>
      <c r="C130" s="11">
        <v>45966.0</v>
      </c>
      <c r="D130" s="11">
        <v>46004.0</v>
      </c>
      <c r="E130" s="10" t="s">
        <v>16</v>
      </c>
      <c r="F130" s="12">
        <v>46387.0</v>
      </c>
      <c r="G130" s="13">
        <v>2817.0</v>
      </c>
      <c r="H130" s="13">
        <v>360.0</v>
      </c>
      <c r="I130" s="14">
        <v>66046.31</v>
      </c>
      <c r="J130" s="13">
        <v>41880.0</v>
      </c>
      <c r="K130" s="13">
        <v>837600.0</v>
      </c>
      <c r="L130" s="10" t="s">
        <v>17</v>
      </c>
      <c r="M130" s="15">
        <f t="shared" si="1"/>
        <v>0.4238107659</v>
      </c>
      <c r="N130" s="16">
        <f t="shared" si="2"/>
        <v>128.8527778</v>
      </c>
    </row>
    <row r="131" ht="15.75" customHeight="1">
      <c r="A131" s="9" t="s">
        <v>168</v>
      </c>
      <c r="B131" s="10" t="s">
        <v>52</v>
      </c>
      <c r="C131" s="11">
        <v>45896.0</v>
      </c>
      <c r="D131" s="11">
        <v>45914.0</v>
      </c>
      <c r="E131" s="10" t="s">
        <v>16</v>
      </c>
      <c r="F131" s="12">
        <v>39740.0</v>
      </c>
      <c r="G131" s="13">
        <v>2181.0</v>
      </c>
      <c r="H131" s="13">
        <v>289.0</v>
      </c>
      <c r="I131" s="14">
        <v>13693.53</v>
      </c>
      <c r="J131" s="13">
        <v>69595.0</v>
      </c>
      <c r="K131" s="13">
        <v>1739875.0</v>
      </c>
      <c r="L131" s="10" t="s">
        <v>17</v>
      </c>
      <c r="M131" s="15">
        <f t="shared" si="1"/>
        <v>-0.655421993</v>
      </c>
      <c r="N131" s="16">
        <f t="shared" si="2"/>
        <v>137.5086505</v>
      </c>
    </row>
    <row r="132" ht="15.75" customHeight="1">
      <c r="A132" s="9" t="s">
        <v>169</v>
      </c>
      <c r="B132" s="10" t="s">
        <v>30</v>
      </c>
      <c r="C132" s="11">
        <v>45873.0</v>
      </c>
      <c r="D132" s="11">
        <v>45876.0</v>
      </c>
      <c r="E132" s="10" t="s">
        <v>26</v>
      </c>
      <c r="F132" s="12">
        <v>11091.0</v>
      </c>
      <c r="G132" s="13">
        <v>578.0</v>
      </c>
      <c r="H132" s="13">
        <v>19.0</v>
      </c>
      <c r="I132" s="14">
        <v>22073.1</v>
      </c>
      <c r="J132" s="13">
        <v>12994.0</v>
      </c>
      <c r="K132" s="13">
        <v>363832.0</v>
      </c>
      <c r="L132" s="10" t="s">
        <v>17</v>
      </c>
      <c r="M132" s="15">
        <f t="shared" si="1"/>
        <v>0.990181228</v>
      </c>
      <c r="N132" s="16">
        <f t="shared" si="2"/>
        <v>583.7368421</v>
      </c>
    </row>
    <row r="133" ht="15.75" customHeight="1">
      <c r="A133" s="9" t="s">
        <v>170</v>
      </c>
      <c r="B133" s="10" t="s">
        <v>58</v>
      </c>
      <c r="C133" s="11">
        <v>46180.0</v>
      </c>
      <c r="D133" s="11">
        <v>46230.0</v>
      </c>
      <c r="E133" s="10" t="s">
        <v>26</v>
      </c>
      <c r="F133" s="12">
        <v>24063.0</v>
      </c>
      <c r="G133" s="13">
        <v>1570.0</v>
      </c>
      <c r="H133" s="13">
        <v>101.0</v>
      </c>
      <c r="I133" s="14">
        <v>15409.91</v>
      </c>
      <c r="J133" s="13">
        <v>64743.0</v>
      </c>
      <c r="K133" s="13">
        <v>841659.0</v>
      </c>
      <c r="L133" s="10" t="s">
        <v>17</v>
      </c>
      <c r="M133" s="15">
        <f t="shared" si="1"/>
        <v>-0.3596014628</v>
      </c>
      <c r="N133" s="16">
        <f t="shared" si="2"/>
        <v>238.2475248</v>
      </c>
    </row>
    <row r="134" ht="15.75" customHeight="1">
      <c r="A134" s="9" t="s">
        <v>171</v>
      </c>
      <c r="B134" s="10" t="s">
        <v>38</v>
      </c>
      <c r="C134" s="11">
        <v>46132.0</v>
      </c>
      <c r="D134" s="11">
        <v>46178.0</v>
      </c>
      <c r="E134" s="10" t="s">
        <v>35</v>
      </c>
      <c r="F134" s="12">
        <v>1744.0</v>
      </c>
      <c r="G134" s="13">
        <v>370.0</v>
      </c>
      <c r="H134" s="13">
        <v>53.0</v>
      </c>
      <c r="I134" s="14">
        <v>9666.79</v>
      </c>
      <c r="J134" s="13">
        <v>5315.0</v>
      </c>
      <c r="K134" s="13">
        <v>47835.0</v>
      </c>
      <c r="L134" s="10" t="s">
        <v>17</v>
      </c>
      <c r="M134" s="15">
        <f t="shared" si="1"/>
        <v>4.542884174</v>
      </c>
      <c r="N134" s="16">
        <f t="shared" si="2"/>
        <v>32.90566038</v>
      </c>
    </row>
    <row r="135" ht="15.75" customHeight="1">
      <c r="A135" s="9" t="s">
        <v>172</v>
      </c>
      <c r="B135" s="10" t="s">
        <v>30</v>
      </c>
      <c r="C135" s="11">
        <v>45966.0</v>
      </c>
      <c r="D135" s="11">
        <v>45995.0</v>
      </c>
      <c r="E135" s="10" t="s">
        <v>26</v>
      </c>
      <c r="F135" s="12">
        <v>12983.0</v>
      </c>
      <c r="G135" s="13">
        <v>1302.0</v>
      </c>
      <c r="H135" s="13">
        <v>47.0</v>
      </c>
      <c r="I135" s="14">
        <v>17033.24</v>
      </c>
      <c r="J135" s="13">
        <v>37443.0</v>
      </c>
      <c r="K135" s="13">
        <v>374430.0</v>
      </c>
      <c r="L135" s="10" t="s">
        <v>17</v>
      </c>
      <c r="M135" s="15">
        <f t="shared" si="1"/>
        <v>0.3119648771</v>
      </c>
      <c r="N135" s="16">
        <f t="shared" si="2"/>
        <v>276.2340426</v>
      </c>
    </row>
    <row r="136" ht="15.75" customHeight="1">
      <c r="A136" s="9" t="s">
        <v>173</v>
      </c>
      <c r="B136" s="10" t="s">
        <v>38</v>
      </c>
      <c r="C136" s="11">
        <v>46122.0</v>
      </c>
      <c r="D136" s="11">
        <v>46154.0</v>
      </c>
      <c r="E136" s="10" t="s">
        <v>26</v>
      </c>
      <c r="F136" s="12">
        <v>2761.0</v>
      </c>
      <c r="G136" s="13">
        <v>166.0</v>
      </c>
      <c r="H136" s="13">
        <v>6.0</v>
      </c>
      <c r="I136" s="14">
        <v>974.9</v>
      </c>
      <c r="J136" s="13">
        <v>5813.0</v>
      </c>
      <c r="K136" s="13">
        <v>145325.0</v>
      </c>
      <c r="L136" s="10" t="s">
        <v>17</v>
      </c>
      <c r="M136" s="15">
        <f t="shared" si="1"/>
        <v>-0.6469032959</v>
      </c>
      <c r="N136" s="16">
        <f t="shared" si="2"/>
        <v>460.1666667</v>
      </c>
    </row>
    <row r="137" ht="15.75" customHeight="1">
      <c r="A137" s="9" t="s">
        <v>174</v>
      </c>
      <c r="B137" s="10" t="s">
        <v>25</v>
      </c>
      <c r="C137" s="11">
        <v>46116.0</v>
      </c>
      <c r="D137" s="11">
        <v>46141.0</v>
      </c>
      <c r="E137" s="10" t="s">
        <v>26</v>
      </c>
      <c r="F137" s="12">
        <v>23338.0</v>
      </c>
      <c r="G137" s="13">
        <v>1214.0</v>
      </c>
      <c r="H137" s="13">
        <v>85.0</v>
      </c>
      <c r="I137" s="14">
        <v>4219.25</v>
      </c>
      <c r="J137" s="13">
        <v>28243.0</v>
      </c>
      <c r="K137" s="13">
        <v>423645.0</v>
      </c>
      <c r="L137" s="10" t="s">
        <v>17</v>
      </c>
      <c r="M137" s="15">
        <f t="shared" si="1"/>
        <v>-0.8192111578</v>
      </c>
      <c r="N137" s="16">
        <f t="shared" si="2"/>
        <v>274.5647059</v>
      </c>
    </row>
    <row r="138" ht="15.75" customHeight="1">
      <c r="A138" s="9" t="s">
        <v>175</v>
      </c>
      <c r="B138" s="10" t="s">
        <v>25</v>
      </c>
      <c r="C138" s="11">
        <v>45886.0</v>
      </c>
      <c r="D138" s="11">
        <v>45891.0</v>
      </c>
      <c r="E138" s="10" t="s">
        <v>35</v>
      </c>
      <c r="F138" s="12">
        <v>2696.0</v>
      </c>
      <c r="G138" s="13">
        <v>177.0</v>
      </c>
      <c r="H138" s="13">
        <v>49.0</v>
      </c>
      <c r="I138" s="14">
        <v>6220.1</v>
      </c>
      <c r="J138" s="13">
        <v>8122.0</v>
      </c>
      <c r="K138" s="13">
        <v>81220.0</v>
      </c>
      <c r="L138" s="10" t="s">
        <v>17</v>
      </c>
      <c r="M138" s="15">
        <f t="shared" si="1"/>
        <v>1.307158754</v>
      </c>
      <c r="N138" s="16">
        <f t="shared" si="2"/>
        <v>55.02040816</v>
      </c>
    </row>
    <row r="139" ht="15.75" customHeight="1">
      <c r="A139" s="9" t="s">
        <v>176</v>
      </c>
      <c r="B139" s="10" t="s">
        <v>38</v>
      </c>
      <c r="C139" s="11">
        <v>45972.0</v>
      </c>
      <c r="D139" s="11">
        <v>46029.0</v>
      </c>
      <c r="E139" s="10" t="s">
        <v>26</v>
      </c>
      <c r="F139" s="12">
        <v>12822.0</v>
      </c>
      <c r="G139" s="13">
        <v>740.0</v>
      </c>
      <c r="H139" s="13">
        <v>55.0</v>
      </c>
      <c r="I139" s="14">
        <v>5630.48</v>
      </c>
      <c r="J139" s="13">
        <v>23931.0</v>
      </c>
      <c r="K139" s="13">
        <v>263241.0</v>
      </c>
      <c r="L139" s="10" t="s">
        <v>17</v>
      </c>
      <c r="M139" s="15">
        <f t="shared" si="1"/>
        <v>-0.5608734987</v>
      </c>
      <c r="N139" s="16">
        <f t="shared" si="2"/>
        <v>233.1272727</v>
      </c>
    </row>
    <row r="140" ht="15.75" customHeight="1">
      <c r="A140" s="9" t="s">
        <v>177</v>
      </c>
      <c r="B140" s="10" t="s">
        <v>38</v>
      </c>
      <c r="C140" s="11">
        <v>46022.0</v>
      </c>
      <c r="D140" s="11">
        <v>46074.0</v>
      </c>
      <c r="E140" s="10" t="s">
        <v>26</v>
      </c>
      <c r="F140" s="12">
        <v>9303.0</v>
      </c>
      <c r="G140" s="13">
        <v>527.0</v>
      </c>
      <c r="H140" s="13">
        <v>24.0</v>
      </c>
      <c r="I140" s="14">
        <v>1642.67</v>
      </c>
      <c r="J140" s="13">
        <v>16094.0</v>
      </c>
      <c r="K140" s="13">
        <v>289692.0</v>
      </c>
      <c r="L140" s="10" t="s">
        <v>17</v>
      </c>
      <c r="M140" s="15">
        <f t="shared" si="1"/>
        <v>-0.8234257766</v>
      </c>
      <c r="N140" s="16">
        <f t="shared" si="2"/>
        <v>387.625</v>
      </c>
    </row>
    <row r="141" ht="15.75" customHeight="1">
      <c r="A141" s="9" t="s">
        <v>178</v>
      </c>
      <c r="B141" s="10" t="s">
        <v>25</v>
      </c>
      <c r="C141" s="11">
        <v>46185.0</v>
      </c>
      <c r="D141" s="11">
        <v>46207.0</v>
      </c>
      <c r="E141" s="10" t="s">
        <v>16</v>
      </c>
      <c r="F141" s="12">
        <v>24050.0</v>
      </c>
      <c r="G141" s="13">
        <v>1250.0</v>
      </c>
      <c r="H141" s="13">
        <v>195.0</v>
      </c>
      <c r="I141" s="14">
        <v>38694.25</v>
      </c>
      <c r="J141" s="13">
        <v>35689.0</v>
      </c>
      <c r="K141" s="13">
        <v>392579.0</v>
      </c>
      <c r="L141" s="10" t="s">
        <v>17</v>
      </c>
      <c r="M141" s="15">
        <f t="shared" si="1"/>
        <v>0.6089085239</v>
      </c>
      <c r="N141" s="16">
        <f t="shared" si="2"/>
        <v>123.3333333</v>
      </c>
    </row>
    <row r="142" ht="15.75" customHeight="1">
      <c r="A142" s="9" t="s">
        <v>179</v>
      </c>
      <c r="B142" s="10" t="s">
        <v>47</v>
      </c>
      <c r="C142" s="11">
        <v>46044.0</v>
      </c>
      <c r="D142" s="11">
        <v>46070.0</v>
      </c>
      <c r="E142" s="10" t="s">
        <v>26</v>
      </c>
      <c r="F142" s="12">
        <v>24988.0</v>
      </c>
      <c r="G142" s="13">
        <v>1876.0</v>
      </c>
      <c r="H142" s="13">
        <v>108.0</v>
      </c>
      <c r="I142" s="14">
        <v>23529.76</v>
      </c>
      <c r="J142" s="13">
        <v>36382.0</v>
      </c>
      <c r="K142" s="13">
        <v>654876.0</v>
      </c>
      <c r="L142" s="10" t="s">
        <v>17</v>
      </c>
      <c r="M142" s="15">
        <f t="shared" si="1"/>
        <v>-0.05835761165</v>
      </c>
      <c r="N142" s="16">
        <f t="shared" si="2"/>
        <v>231.3703704</v>
      </c>
    </row>
    <row r="143" ht="15.75" customHeight="1">
      <c r="A143" s="9" t="s">
        <v>180</v>
      </c>
      <c r="B143" s="10" t="s">
        <v>28</v>
      </c>
      <c r="C143" s="11">
        <v>46041.0</v>
      </c>
      <c r="D143" s="11">
        <v>46075.0</v>
      </c>
      <c r="E143" s="10" t="s">
        <v>16</v>
      </c>
      <c r="F143" s="12">
        <v>8932.0</v>
      </c>
      <c r="G143" s="13">
        <v>924.0</v>
      </c>
      <c r="H143" s="13">
        <v>92.0</v>
      </c>
      <c r="I143" s="14">
        <v>17614.22</v>
      </c>
      <c r="J143" s="13">
        <v>9638.0</v>
      </c>
      <c r="K143" s="13">
        <v>269864.0</v>
      </c>
      <c r="L143" s="10" t="s">
        <v>17</v>
      </c>
      <c r="M143" s="15">
        <f t="shared" si="1"/>
        <v>0.9720353784</v>
      </c>
      <c r="N143" s="16">
        <f t="shared" si="2"/>
        <v>97.08695652</v>
      </c>
    </row>
    <row r="144" ht="15.75" customHeight="1">
      <c r="A144" s="9" t="s">
        <v>181</v>
      </c>
      <c r="B144" s="10" t="s">
        <v>75</v>
      </c>
      <c r="C144" s="11">
        <v>46035.0</v>
      </c>
      <c r="D144" s="11">
        <v>46046.0</v>
      </c>
      <c r="E144" s="10" t="s">
        <v>26</v>
      </c>
      <c r="F144" s="12">
        <v>16237.0</v>
      </c>
      <c r="G144" s="13">
        <v>1308.0</v>
      </c>
      <c r="H144" s="13">
        <v>41.0</v>
      </c>
      <c r="I144" s="14">
        <v>6971.72</v>
      </c>
      <c r="J144" s="13">
        <v>19544.0</v>
      </c>
      <c r="K144" s="13">
        <v>488600.0</v>
      </c>
      <c r="L144" s="10" t="s">
        <v>17</v>
      </c>
      <c r="M144" s="15">
        <f t="shared" si="1"/>
        <v>-0.570627579</v>
      </c>
      <c r="N144" s="16">
        <f t="shared" si="2"/>
        <v>396.0243902</v>
      </c>
    </row>
    <row r="145" ht="15.75" customHeight="1">
      <c r="A145" s="9" t="s">
        <v>182</v>
      </c>
      <c r="B145" s="10" t="s">
        <v>58</v>
      </c>
      <c r="C145" s="11">
        <v>45931.0</v>
      </c>
      <c r="D145" s="11">
        <v>45935.0</v>
      </c>
      <c r="E145" s="10" t="s">
        <v>26</v>
      </c>
      <c r="F145" s="12">
        <v>12948.0</v>
      </c>
      <c r="G145" s="13">
        <v>762.0</v>
      </c>
      <c r="H145" s="13">
        <v>42.0</v>
      </c>
      <c r="I145" s="14">
        <v>4383.99</v>
      </c>
      <c r="J145" s="13">
        <v>40770.0</v>
      </c>
      <c r="K145" s="13">
        <v>530010.0</v>
      </c>
      <c r="L145" s="10" t="s">
        <v>17</v>
      </c>
      <c r="M145" s="15">
        <f t="shared" si="1"/>
        <v>-0.6614156627</v>
      </c>
      <c r="N145" s="16">
        <f t="shared" si="2"/>
        <v>308.2857143</v>
      </c>
    </row>
    <row r="146" ht="15.75" customHeight="1">
      <c r="A146" s="9" t="s">
        <v>183</v>
      </c>
      <c r="B146" s="10" t="s">
        <v>25</v>
      </c>
      <c r="C146" s="11">
        <v>45993.0</v>
      </c>
      <c r="D146" s="11">
        <v>46016.0</v>
      </c>
      <c r="E146" s="10" t="s">
        <v>26</v>
      </c>
      <c r="F146" s="12">
        <v>6971.0</v>
      </c>
      <c r="G146" s="13">
        <v>634.0</v>
      </c>
      <c r="H146" s="13">
        <v>49.0</v>
      </c>
      <c r="I146" s="14">
        <v>7713.82</v>
      </c>
      <c r="J146" s="13">
        <v>9427.0</v>
      </c>
      <c r="K146" s="13">
        <v>254529.0</v>
      </c>
      <c r="L146" s="10" t="s">
        <v>17</v>
      </c>
      <c r="M146" s="15">
        <f t="shared" si="1"/>
        <v>0.1065585999</v>
      </c>
      <c r="N146" s="16">
        <f t="shared" si="2"/>
        <v>142.2653061</v>
      </c>
    </row>
    <row r="147" ht="15.75" customHeight="1">
      <c r="A147" s="9" t="s">
        <v>184</v>
      </c>
      <c r="B147" s="10" t="s">
        <v>25</v>
      </c>
      <c r="C147" s="11">
        <v>46191.0</v>
      </c>
      <c r="D147" s="11">
        <v>46212.0</v>
      </c>
      <c r="E147" s="10" t="s">
        <v>26</v>
      </c>
      <c r="F147" s="12">
        <v>6672.0</v>
      </c>
      <c r="G147" s="13">
        <v>438.0</v>
      </c>
      <c r="H147" s="13">
        <v>13.0</v>
      </c>
      <c r="I147" s="14">
        <v>2095.27</v>
      </c>
      <c r="J147" s="13">
        <v>22160.0</v>
      </c>
      <c r="K147" s="13">
        <v>598320.0</v>
      </c>
      <c r="L147" s="10" t="s">
        <v>17</v>
      </c>
      <c r="M147" s="15">
        <f t="shared" si="1"/>
        <v>-0.6859607314</v>
      </c>
      <c r="N147" s="16">
        <f t="shared" si="2"/>
        <v>513.2307692</v>
      </c>
    </row>
    <row r="148" ht="15.75" customHeight="1">
      <c r="A148" s="9" t="s">
        <v>185</v>
      </c>
      <c r="B148" s="10" t="s">
        <v>58</v>
      </c>
      <c r="C148" s="11">
        <v>45878.0</v>
      </c>
      <c r="D148" s="11">
        <v>45896.0</v>
      </c>
      <c r="E148" s="10" t="s">
        <v>26</v>
      </c>
      <c r="F148" s="12">
        <v>13864.0</v>
      </c>
      <c r="G148" s="13">
        <v>763.0</v>
      </c>
      <c r="H148" s="13">
        <v>60.0</v>
      </c>
      <c r="I148" s="14">
        <v>3981.64</v>
      </c>
      <c r="J148" s="13">
        <v>34596.0</v>
      </c>
      <c r="K148" s="13">
        <v>518940.0</v>
      </c>
      <c r="L148" s="10" t="s">
        <v>17</v>
      </c>
      <c r="M148" s="15">
        <f t="shared" si="1"/>
        <v>-0.7128072706</v>
      </c>
      <c r="N148" s="16">
        <f t="shared" si="2"/>
        <v>231.0666667</v>
      </c>
    </row>
    <row r="149" ht="15.75" customHeight="1">
      <c r="A149" s="9" t="s">
        <v>186</v>
      </c>
      <c r="B149" s="10" t="s">
        <v>28</v>
      </c>
      <c r="C149" s="11">
        <v>46036.0</v>
      </c>
      <c r="D149" s="11">
        <v>46067.0</v>
      </c>
      <c r="E149" s="10" t="s">
        <v>26</v>
      </c>
      <c r="F149" s="12">
        <v>16251.0</v>
      </c>
      <c r="G149" s="13">
        <v>1366.0</v>
      </c>
      <c r="H149" s="13">
        <v>106.0</v>
      </c>
      <c r="I149" s="14">
        <v>12120.68</v>
      </c>
      <c r="J149" s="13">
        <v>19562.0</v>
      </c>
      <c r="K149" s="13">
        <v>567298.0</v>
      </c>
      <c r="L149" s="10" t="s">
        <v>17</v>
      </c>
      <c r="M149" s="15">
        <f t="shared" si="1"/>
        <v>-0.254157898</v>
      </c>
      <c r="N149" s="16">
        <f t="shared" si="2"/>
        <v>153.3113208</v>
      </c>
    </row>
    <row r="150" ht="15.75" customHeight="1">
      <c r="A150" s="9" t="s">
        <v>187</v>
      </c>
      <c r="B150" s="10" t="s">
        <v>47</v>
      </c>
      <c r="C150" s="11">
        <v>46002.0</v>
      </c>
      <c r="D150" s="11">
        <v>46021.0</v>
      </c>
      <c r="E150" s="10" t="s">
        <v>26</v>
      </c>
      <c r="F150" s="12">
        <v>5931.0</v>
      </c>
      <c r="G150" s="13">
        <v>592.0</v>
      </c>
      <c r="H150" s="13">
        <v>14.0</v>
      </c>
      <c r="I150" s="14">
        <v>12469.69</v>
      </c>
      <c r="J150" s="13">
        <v>14751.0</v>
      </c>
      <c r="K150" s="13">
        <v>339273.0</v>
      </c>
      <c r="L150" s="10" t="s">
        <v>17</v>
      </c>
      <c r="M150" s="15">
        <f t="shared" si="1"/>
        <v>1.102459956</v>
      </c>
      <c r="N150" s="16">
        <f t="shared" si="2"/>
        <v>423.6428571</v>
      </c>
    </row>
    <row r="151" ht="15.75" customHeight="1">
      <c r="A151" s="9" t="s">
        <v>188</v>
      </c>
      <c r="B151" s="10" t="s">
        <v>62</v>
      </c>
      <c r="C151" s="11">
        <v>46090.0</v>
      </c>
      <c r="D151" s="11">
        <v>46102.0</v>
      </c>
      <c r="E151" s="10" t="s">
        <v>16</v>
      </c>
      <c r="F151" s="12">
        <v>10572.0</v>
      </c>
      <c r="G151" s="13">
        <v>1213.0</v>
      </c>
      <c r="H151" s="13">
        <v>117.0</v>
      </c>
      <c r="I151" s="14">
        <v>45639.25</v>
      </c>
      <c r="J151" s="13">
        <v>11397.0</v>
      </c>
      <c r="K151" s="13">
        <v>125367.0</v>
      </c>
      <c r="L151" s="10" t="s">
        <v>17</v>
      </c>
      <c r="M151" s="15">
        <f t="shared" si="1"/>
        <v>3.316993</v>
      </c>
      <c r="N151" s="16">
        <f t="shared" si="2"/>
        <v>90.35897436</v>
      </c>
    </row>
    <row r="152" ht="15.75" customHeight="1">
      <c r="A152" s="9" t="s">
        <v>189</v>
      </c>
      <c r="B152" s="10" t="s">
        <v>47</v>
      </c>
      <c r="C152" s="11">
        <v>46050.0</v>
      </c>
      <c r="D152" s="11">
        <v>46101.0</v>
      </c>
      <c r="E152" s="10" t="s">
        <v>35</v>
      </c>
      <c r="F152" s="12">
        <v>2663.0</v>
      </c>
      <c r="G152" s="13">
        <v>155.0</v>
      </c>
      <c r="H152" s="13">
        <v>32.0</v>
      </c>
      <c r="I152" s="14">
        <v>13871.79</v>
      </c>
      <c r="J152" s="13">
        <v>5993.0</v>
      </c>
      <c r="K152" s="13">
        <v>59930.0</v>
      </c>
      <c r="L152" s="10" t="s">
        <v>17</v>
      </c>
      <c r="M152" s="15">
        <f t="shared" si="1"/>
        <v>4.20908374</v>
      </c>
      <c r="N152" s="16">
        <f t="shared" si="2"/>
        <v>83.21875</v>
      </c>
    </row>
    <row r="153" ht="15.75" customHeight="1">
      <c r="A153" s="9" t="s">
        <v>190</v>
      </c>
      <c r="B153" s="10" t="s">
        <v>38</v>
      </c>
      <c r="C153" s="11">
        <v>46160.0</v>
      </c>
      <c r="D153" s="11">
        <v>46172.0</v>
      </c>
      <c r="E153" s="10" t="s">
        <v>16</v>
      </c>
      <c r="F153" s="12">
        <v>45997.0</v>
      </c>
      <c r="G153" s="13">
        <v>2469.0</v>
      </c>
      <c r="H153" s="13">
        <v>206.0</v>
      </c>
      <c r="I153" s="14">
        <v>1737.46</v>
      </c>
      <c r="J153" s="13">
        <v>32603.0</v>
      </c>
      <c r="K153" s="13">
        <v>260824.0</v>
      </c>
      <c r="L153" s="10" t="s">
        <v>17</v>
      </c>
      <c r="M153" s="15">
        <f t="shared" si="1"/>
        <v>-0.962226667</v>
      </c>
      <c r="N153" s="16">
        <f t="shared" si="2"/>
        <v>223.2864078</v>
      </c>
    </row>
    <row r="154" ht="15.75" customHeight="1">
      <c r="A154" s="9" t="s">
        <v>191</v>
      </c>
      <c r="B154" s="10" t="s">
        <v>56</v>
      </c>
      <c r="C154" s="11">
        <v>45915.0</v>
      </c>
      <c r="D154" s="11">
        <v>45927.0</v>
      </c>
      <c r="E154" s="10" t="s">
        <v>26</v>
      </c>
      <c r="F154" s="12">
        <v>21066.0</v>
      </c>
      <c r="G154" s="13">
        <v>1106.0</v>
      </c>
      <c r="H154" s="13">
        <v>61.0</v>
      </c>
      <c r="I154" s="14">
        <v>12883.81</v>
      </c>
      <c r="J154" s="13">
        <v>27901.0</v>
      </c>
      <c r="K154" s="13">
        <v>585921.0</v>
      </c>
      <c r="L154" s="10" t="s">
        <v>17</v>
      </c>
      <c r="M154" s="15">
        <f t="shared" si="1"/>
        <v>-0.3884073863</v>
      </c>
      <c r="N154" s="16">
        <f t="shared" si="2"/>
        <v>345.3442623</v>
      </c>
    </row>
    <row r="155" ht="15.75" customHeight="1">
      <c r="A155" s="9" t="s">
        <v>192</v>
      </c>
      <c r="B155" s="10" t="s">
        <v>30</v>
      </c>
      <c r="C155" s="11">
        <v>45980.0</v>
      </c>
      <c r="D155" s="11">
        <v>46008.0</v>
      </c>
      <c r="E155" s="10" t="s">
        <v>26</v>
      </c>
      <c r="F155" s="12">
        <v>7213.0</v>
      </c>
      <c r="G155" s="13">
        <v>691.0</v>
      </c>
      <c r="H155" s="13">
        <v>39.0</v>
      </c>
      <c r="I155" s="14">
        <v>15006.1</v>
      </c>
      <c r="J155" s="13">
        <v>10180.0</v>
      </c>
      <c r="K155" s="13">
        <v>193420.0</v>
      </c>
      <c r="L155" s="10" t="s">
        <v>17</v>
      </c>
      <c r="M155" s="15">
        <f t="shared" si="1"/>
        <v>1.080424234</v>
      </c>
      <c r="N155" s="16">
        <f t="shared" si="2"/>
        <v>184.9487179</v>
      </c>
    </row>
    <row r="156" ht="15.75" customHeight="1">
      <c r="A156" s="9" t="s">
        <v>193</v>
      </c>
      <c r="B156" s="10" t="s">
        <v>19</v>
      </c>
      <c r="C156" s="11">
        <v>46195.0</v>
      </c>
      <c r="D156" s="11">
        <v>46241.0</v>
      </c>
      <c r="E156" s="10" t="s">
        <v>35</v>
      </c>
      <c r="F156" s="12">
        <v>1604.0</v>
      </c>
      <c r="G156" s="13">
        <v>182.0</v>
      </c>
      <c r="H156" s="13">
        <v>53.0</v>
      </c>
      <c r="I156" s="14">
        <v>10064.05</v>
      </c>
      <c r="J156" s="13">
        <v>6980.0</v>
      </c>
      <c r="K156" s="13">
        <v>153560.0</v>
      </c>
      <c r="L156" s="10" t="s">
        <v>17</v>
      </c>
      <c r="M156" s="15">
        <f t="shared" si="1"/>
        <v>5.274345387</v>
      </c>
      <c r="N156" s="16">
        <f t="shared" si="2"/>
        <v>30.26415094</v>
      </c>
    </row>
    <row r="157" ht="15.75" customHeight="1">
      <c r="A157" s="9" t="s">
        <v>194</v>
      </c>
      <c r="B157" s="10" t="s">
        <v>30</v>
      </c>
      <c r="C157" s="11">
        <v>46072.0</v>
      </c>
      <c r="D157" s="11">
        <v>46078.0</v>
      </c>
      <c r="E157" s="10" t="s">
        <v>26</v>
      </c>
      <c r="F157" s="12">
        <v>14308.0</v>
      </c>
      <c r="G157" s="13">
        <v>833.0</v>
      </c>
      <c r="H157" s="13">
        <v>51.0</v>
      </c>
      <c r="I157" s="14">
        <v>19595.59</v>
      </c>
      <c r="J157" s="13">
        <v>30810.0</v>
      </c>
      <c r="K157" s="13">
        <v>708630.0</v>
      </c>
      <c r="L157" s="10" t="s">
        <v>17</v>
      </c>
      <c r="M157" s="15">
        <f t="shared" si="1"/>
        <v>0.3695547945</v>
      </c>
      <c r="N157" s="16">
        <f t="shared" si="2"/>
        <v>280.5490196</v>
      </c>
    </row>
    <row r="158" ht="15.75" customHeight="1">
      <c r="A158" s="9" t="s">
        <v>195</v>
      </c>
      <c r="B158" s="10" t="s">
        <v>28</v>
      </c>
      <c r="C158" s="11">
        <v>46191.0</v>
      </c>
      <c r="D158" s="11">
        <v>46199.0</v>
      </c>
      <c r="E158" s="10" t="s">
        <v>35</v>
      </c>
      <c r="F158" s="12">
        <v>3135.0</v>
      </c>
      <c r="G158" s="13">
        <v>177.0</v>
      </c>
      <c r="H158" s="13">
        <v>18.0</v>
      </c>
      <c r="I158" s="14">
        <v>3014.48</v>
      </c>
      <c r="J158" s="13">
        <v>18730.0</v>
      </c>
      <c r="K158" s="13">
        <v>449520.0</v>
      </c>
      <c r="L158" s="10" t="s">
        <v>17</v>
      </c>
      <c r="M158" s="15">
        <f t="shared" si="1"/>
        <v>-0.03844338118</v>
      </c>
      <c r="N158" s="16">
        <f t="shared" si="2"/>
        <v>174.1666667</v>
      </c>
    </row>
    <row r="159" ht="15.75" customHeight="1">
      <c r="A159" s="9" t="s">
        <v>196</v>
      </c>
      <c r="B159" s="10" t="s">
        <v>19</v>
      </c>
      <c r="C159" s="11">
        <v>45906.0</v>
      </c>
      <c r="D159" s="11">
        <v>45950.0</v>
      </c>
      <c r="E159" s="10" t="s">
        <v>16</v>
      </c>
      <c r="F159" s="12">
        <v>18350.0</v>
      </c>
      <c r="G159" s="13">
        <v>2282.0</v>
      </c>
      <c r="H159" s="13">
        <v>292.0</v>
      </c>
      <c r="I159" s="14">
        <v>51494.79</v>
      </c>
      <c r="J159" s="13">
        <v>36089.0</v>
      </c>
      <c r="K159" s="13">
        <v>685691.0</v>
      </c>
      <c r="L159" s="10" t="s">
        <v>17</v>
      </c>
      <c r="M159" s="15">
        <f t="shared" si="1"/>
        <v>1.806255586</v>
      </c>
      <c r="N159" s="16">
        <f t="shared" si="2"/>
        <v>62.84246575</v>
      </c>
    </row>
    <row r="160" ht="15.75" customHeight="1">
      <c r="A160" s="9" t="s">
        <v>197</v>
      </c>
      <c r="B160" s="10" t="s">
        <v>30</v>
      </c>
      <c r="C160" s="11">
        <v>46042.0</v>
      </c>
      <c r="D160" s="11">
        <v>46082.0</v>
      </c>
      <c r="E160" s="10" t="s">
        <v>35</v>
      </c>
      <c r="F160" s="12">
        <v>1638.0</v>
      </c>
      <c r="G160" s="13">
        <v>84.0</v>
      </c>
      <c r="H160" s="13">
        <v>8.0</v>
      </c>
      <c r="I160" s="14">
        <v>21568.44</v>
      </c>
      <c r="J160" s="13">
        <v>3277.0</v>
      </c>
      <c r="K160" s="13">
        <v>58986.0</v>
      </c>
      <c r="L160" s="10" t="s">
        <v>17</v>
      </c>
      <c r="M160" s="15">
        <f t="shared" si="1"/>
        <v>12.16754579</v>
      </c>
      <c r="N160" s="16">
        <f t="shared" si="2"/>
        <v>204.75</v>
      </c>
    </row>
    <row r="161" ht="15.75" customHeight="1">
      <c r="A161" s="9" t="s">
        <v>198</v>
      </c>
      <c r="B161" s="10" t="s">
        <v>38</v>
      </c>
      <c r="C161" s="11">
        <v>46172.0</v>
      </c>
      <c r="D161" s="11">
        <v>46194.0</v>
      </c>
      <c r="E161" s="10" t="s">
        <v>35</v>
      </c>
      <c r="F161" s="12">
        <v>2343.0</v>
      </c>
      <c r="G161" s="13">
        <v>127.0</v>
      </c>
      <c r="H161" s="13">
        <v>16.0</v>
      </c>
      <c r="I161" s="14">
        <v>3246.84</v>
      </c>
      <c r="J161" s="13">
        <v>5606.0</v>
      </c>
      <c r="K161" s="13">
        <v>156968.0</v>
      </c>
      <c r="L161" s="10" t="s">
        <v>17</v>
      </c>
      <c r="M161" s="15">
        <f t="shared" si="1"/>
        <v>0.3857618438</v>
      </c>
      <c r="N161" s="16">
        <f t="shared" si="2"/>
        <v>146.4375</v>
      </c>
    </row>
    <row r="162" ht="15.75" customHeight="1">
      <c r="A162" s="9" t="s">
        <v>199</v>
      </c>
      <c r="B162" s="10" t="s">
        <v>52</v>
      </c>
      <c r="C162" s="11">
        <v>45857.0</v>
      </c>
      <c r="D162" s="11">
        <v>45897.0</v>
      </c>
      <c r="E162" s="10" t="s">
        <v>26</v>
      </c>
      <c r="F162" s="12">
        <v>21244.0</v>
      </c>
      <c r="G162" s="13">
        <v>1378.0</v>
      </c>
      <c r="H162" s="13">
        <v>95.0</v>
      </c>
      <c r="I162" s="14">
        <v>16408.47</v>
      </c>
      <c r="J162" s="13">
        <v>41992.0</v>
      </c>
      <c r="K162" s="13">
        <v>545896.0</v>
      </c>
      <c r="L162" s="10" t="s">
        <v>17</v>
      </c>
      <c r="M162" s="15">
        <f t="shared" si="1"/>
        <v>-0.2276186217</v>
      </c>
      <c r="N162" s="16">
        <f t="shared" si="2"/>
        <v>223.6210526</v>
      </c>
    </row>
    <row r="163" ht="15.75" customHeight="1">
      <c r="A163" s="9" t="s">
        <v>200</v>
      </c>
      <c r="B163" s="10" t="s">
        <v>52</v>
      </c>
      <c r="C163" s="11">
        <v>45971.0</v>
      </c>
      <c r="D163" s="11">
        <v>46020.0</v>
      </c>
      <c r="E163" s="10" t="s">
        <v>16</v>
      </c>
      <c r="F163" s="12">
        <v>59975.0</v>
      </c>
      <c r="G163" s="13">
        <v>3131.0</v>
      </c>
      <c r="H163" s="13">
        <v>384.0</v>
      </c>
      <c r="I163" s="14">
        <v>81433.33</v>
      </c>
      <c r="J163" s="13">
        <v>42456.0</v>
      </c>
      <c r="K163" s="13">
        <v>764208.0</v>
      </c>
      <c r="L163" s="10" t="s">
        <v>17</v>
      </c>
      <c r="M163" s="15">
        <f t="shared" si="1"/>
        <v>0.3577879116</v>
      </c>
      <c r="N163" s="16">
        <f t="shared" si="2"/>
        <v>156.1848958</v>
      </c>
    </row>
    <row r="164" ht="15.75" customHeight="1">
      <c r="A164" s="9" t="s">
        <v>201</v>
      </c>
      <c r="B164" s="10" t="s">
        <v>56</v>
      </c>
      <c r="C164" s="11">
        <v>46163.0</v>
      </c>
      <c r="D164" s="11">
        <v>46203.0</v>
      </c>
      <c r="E164" s="10" t="s">
        <v>16</v>
      </c>
      <c r="F164" s="12">
        <v>45031.0</v>
      </c>
      <c r="G164" s="13">
        <v>2470.0</v>
      </c>
      <c r="H164" s="13">
        <v>426.0</v>
      </c>
      <c r="I164" s="14">
        <v>63057.87</v>
      </c>
      <c r="J164" s="13">
        <v>78833.0</v>
      </c>
      <c r="K164" s="13">
        <v>945996.0</v>
      </c>
      <c r="L164" s="10" t="s">
        <v>17</v>
      </c>
      <c r="M164" s="15">
        <f t="shared" si="1"/>
        <v>0.4003213342</v>
      </c>
      <c r="N164" s="16">
        <f t="shared" si="2"/>
        <v>105.7065728</v>
      </c>
    </row>
    <row r="165" ht="15.75" customHeight="1">
      <c r="A165" s="9" t="s">
        <v>202</v>
      </c>
      <c r="B165" s="10" t="s">
        <v>38</v>
      </c>
      <c r="C165" s="11">
        <v>45931.0</v>
      </c>
      <c r="D165" s="11">
        <v>45983.0</v>
      </c>
      <c r="E165" s="10" t="s">
        <v>26</v>
      </c>
      <c r="F165" s="12">
        <v>5148.0</v>
      </c>
      <c r="G165" s="13">
        <v>753.0</v>
      </c>
      <c r="H165" s="13">
        <v>37.0</v>
      </c>
      <c r="I165" s="14">
        <v>4992.59</v>
      </c>
      <c r="J165" s="13">
        <v>7585.0</v>
      </c>
      <c r="K165" s="13">
        <v>174455.0</v>
      </c>
      <c r="L165" s="10" t="s">
        <v>17</v>
      </c>
      <c r="M165" s="15">
        <f t="shared" si="1"/>
        <v>-0.03018842269</v>
      </c>
      <c r="N165" s="16">
        <f t="shared" si="2"/>
        <v>139.1351351</v>
      </c>
    </row>
    <row r="166" ht="15.75" customHeight="1">
      <c r="A166" s="9" t="s">
        <v>204</v>
      </c>
      <c r="B166" s="10" t="s">
        <v>30</v>
      </c>
      <c r="C166" s="11">
        <v>46045.0</v>
      </c>
      <c r="D166" s="11">
        <v>46075.0</v>
      </c>
      <c r="E166" s="10" t="s">
        <v>16</v>
      </c>
      <c r="F166" s="12">
        <v>38286.0</v>
      </c>
      <c r="G166" s="13">
        <v>5324.0</v>
      </c>
      <c r="H166" s="13">
        <v>531.0</v>
      </c>
      <c r="I166" s="14">
        <v>51164.81</v>
      </c>
      <c r="J166" s="13">
        <v>71199.0</v>
      </c>
      <c r="K166" s="13">
        <v>1993572.0</v>
      </c>
      <c r="L166" s="10" t="s">
        <v>17</v>
      </c>
      <c r="M166" s="15">
        <f t="shared" si="1"/>
        <v>0.336384318</v>
      </c>
      <c r="N166" s="16">
        <f t="shared" si="2"/>
        <v>72.10169492</v>
      </c>
    </row>
    <row r="167" ht="15.75" customHeight="1">
      <c r="A167" s="9" t="s">
        <v>205</v>
      </c>
      <c r="B167" s="10" t="s">
        <v>15</v>
      </c>
      <c r="C167" s="11">
        <v>46035.0</v>
      </c>
      <c r="D167" s="11">
        <v>46070.0</v>
      </c>
      <c r="E167" s="10" t="s">
        <v>26</v>
      </c>
      <c r="F167" s="12">
        <v>21789.0</v>
      </c>
      <c r="G167" s="13">
        <v>4605.0</v>
      </c>
      <c r="H167" s="13">
        <v>176.0</v>
      </c>
      <c r="I167" s="14">
        <v>36767.64</v>
      </c>
      <c r="J167" s="13">
        <v>64241.0</v>
      </c>
      <c r="K167" s="13">
        <v>770892.0</v>
      </c>
      <c r="L167" s="10" t="s">
        <v>17</v>
      </c>
      <c r="M167" s="15">
        <f t="shared" si="1"/>
        <v>0.6874404516</v>
      </c>
      <c r="N167" s="16">
        <f t="shared" si="2"/>
        <v>123.8011364</v>
      </c>
    </row>
    <row r="168" ht="15.75" customHeight="1">
      <c r="A168" s="9" t="s">
        <v>206</v>
      </c>
      <c r="B168" s="10" t="s">
        <v>28</v>
      </c>
      <c r="C168" s="11">
        <v>46045.0</v>
      </c>
      <c r="D168" s="11">
        <v>46049.0</v>
      </c>
      <c r="E168" s="10" t="s">
        <v>26</v>
      </c>
      <c r="F168" s="12">
        <v>9984.0</v>
      </c>
      <c r="G168" s="13">
        <v>1353.0</v>
      </c>
      <c r="H168" s="13">
        <v>45.0</v>
      </c>
      <c r="I168" s="14">
        <v>2300.13</v>
      </c>
      <c r="J168" s="13">
        <v>11206.0</v>
      </c>
      <c r="K168" s="13">
        <v>313768.0</v>
      </c>
      <c r="L168" s="10" t="s">
        <v>17</v>
      </c>
      <c r="M168" s="15">
        <f t="shared" si="1"/>
        <v>-0.7696183894</v>
      </c>
      <c r="N168" s="16">
        <f t="shared" si="2"/>
        <v>221.8666667</v>
      </c>
    </row>
    <row r="169" ht="15.75" customHeight="1">
      <c r="A169" s="9" t="s">
        <v>207</v>
      </c>
      <c r="B169" s="10" t="s">
        <v>56</v>
      </c>
      <c r="C169" s="11">
        <v>45909.0</v>
      </c>
      <c r="D169" s="11">
        <v>45938.0</v>
      </c>
      <c r="E169" s="10" t="s">
        <v>16</v>
      </c>
      <c r="F169" s="12">
        <v>13875.0</v>
      </c>
      <c r="G169" s="13">
        <v>1627.0</v>
      </c>
      <c r="H169" s="13">
        <v>189.0</v>
      </c>
      <c r="I169" s="14">
        <v>34604.26</v>
      </c>
      <c r="J169" s="13">
        <v>12413.0</v>
      </c>
      <c r="K169" s="13">
        <v>235847.0</v>
      </c>
      <c r="L169" s="10" t="s">
        <v>17</v>
      </c>
      <c r="M169" s="15">
        <f t="shared" si="1"/>
        <v>1.494000721</v>
      </c>
      <c r="N169" s="16">
        <f t="shared" si="2"/>
        <v>73.41269841</v>
      </c>
    </row>
    <row r="170" ht="15.75" customHeight="1">
      <c r="A170" s="9" t="s">
        <v>208</v>
      </c>
      <c r="B170" s="10" t="s">
        <v>28</v>
      </c>
      <c r="C170" s="11">
        <v>45970.0</v>
      </c>
      <c r="D170" s="11">
        <v>46014.0</v>
      </c>
      <c r="E170" s="10" t="s">
        <v>26</v>
      </c>
      <c r="F170" s="12">
        <v>10074.0</v>
      </c>
      <c r="G170" s="13">
        <v>1224.0</v>
      </c>
      <c r="H170" s="13">
        <v>58.0</v>
      </c>
      <c r="I170" s="14">
        <v>3533.98</v>
      </c>
      <c r="J170" s="13">
        <v>11365.0</v>
      </c>
      <c r="K170" s="13">
        <v>238665.0</v>
      </c>
      <c r="L170" s="10" t="s">
        <v>17</v>
      </c>
      <c r="M170" s="15">
        <f t="shared" si="1"/>
        <v>-0.6491979353</v>
      </c>
      <c r="N170" s="16">
        <f t="shared" si="2"/>
        <v>173.6896552</v>
      </c>
    </row>
    <row r="171" ht="15.75" customHeight="1">
      <c r="A171" s="9" t="s">
        <v>209</v>
      </c>
      <c r="B171" s="10" t="s">
        <v>38</v>
      </c>
      <c r="C171" s="11">
        <v>45909.0</v>
      </c>
      <c r="D171" s="11">
        <v>45954.0</v>
      </c>
      <c r="E171" s="10" t="s">
        <v>26</v>
      </c>
      <c r="F171" s="12">
        <v>23707.0</v>
      </c>
      <c r="G171" s="13">
        <v>2154.0</v>
      </c>
      <c r="H171" s="13">
        <v>65.0</v>
      </c>
      <c r="I171" s="14">
        <v>11162.89</v>
      </c>
      <c r="J171" s="13">
        <v>46076.0</v>
      </c>
      <c r="K171" s="13">
        <v>1013672.0</v>
      </c>
      <c r="L171" s="10" t="s">
        <v>17</v>
      </c>
      <c r="M171" s="15">
        <f t="shared" si="1"/>
        <v>-0.5291310583</v>
      </c>
      <c r="N171" s="16">
        <f t="shared" si="2"/>
        <v>364.7230769</v>
      </c>
    </row>
    <row r="172" ht="15.75" customHeight="1">
      <c r="A172" s="9" t="s">
        <v>210</v>
      </c>
      <c r="B172" s="10" t="s">
        <v>58</v>
      </c>
      <c r="C172" s="11">
        <v>45924.0</v>
      </c>
      <c r="D172" s="11">
        <v>45934.0</v>
      </c>
      <c r="E172" s="10" t="s">
        <v>16</v>
      </c>
      <c r="F172" s="12">
        <v>15684.0</v>
      </c>
      <c r="G172" s="13">
        <v>822.0</v>
      </c>
      <c r="H172" s="13">
        <v>115.0</v>
      </c>
      <c r="I172" s="14">
        <v>8402.94</v>
      </c>
      <c r="J172" s="13">
        <v>28075.0</v>
      </c>
      <c r="K172" s="13">
        <v>561500.0</v>
      </c>
      <c r="L172" s="10" t="s">
        <v>17</v>
      </c>
      <c r="M172" s="15">
        <f t="shared" si="1"/>
        <v>-0.4642348891</v>
      </c>
      <c r="N172" s="16">
        <f t="shared" si="2"/>
        <v>136.3826087</v>
      </c>
    </row>
    <row r="173" ht="15.75" customHeight="1">
      <c r="A173" s="9" t="s">
        <v>211</v>
      </c>
      <c r="B173" s="10" t="s">
        <v>25</v>
      </c>
      <c r="C173" s="11">
        <v>46181.0</v>
      </c>
      <c r="D173" s="11">
        <v>46239.0</v>
      </c>
      <c r="E173" s="10" t="s">
        <v>26</v>
      </c>
      <c r="F173" s="12">
        <v>13585.0</v>
      </c>
      <c r="G173" s="13">
        <v>977.0</v>
      </c>
      <c r="H173" s="13">
        <v>49.0</v>
      </c>
      <c r="I173" s="14">
        <v>6377.69</v>
      </c>
      <c r="J173" s="13">
        <v>19054.0</v>
      </c>
      <c r="K173" s="13">
        <v>476350.0</v>
      </c>
      <c r="L173" s="10" t="s">
        <v>17</v>
      </c>
      <c r="M173" s="15">
        <f t="shared" si="1"/>
        <v>-0.530534413</v>
      </c>
      <c r="N173" s="16">
        <f t="shared" si="2"/>
        <v>277.244898</v>
      </c>
    </row>
    <row r="174" ht="15.75" customHeight="1">
      <c r="A174" s="9" t="s">
        <v>212</v>
      </c>
      <c r="B174" s="10" t="s">
        <v>56</v>
      </c>
      <c r="C174" s="11">
        <v>46079.0</v>
      </c>
      <c r="D174" s="11">
        <v>46136.0</v>
      </c>
      <c r="E174" s="10" t="s">
        <v>16</v>
      </c>
      <c r="F174" s="12">
        <v>39495.0</v>
      </c>
      <c r="G174" s="13">
        <v>3328.0</v>
      </c>
      <c r="H174" s="13">
        <v>542.0</v>
      </c>
      <c r="I174" s="14">
        <v>21285.99</v>
      </c>
      <c r="J174" s="13">
        <v>68703.0</v>
      </c>
      <c r="K174" s="13">
        <v>1511466.0</v>
      </c>
      <c r="L174" s="10" t="s">
        <v>17</v>
      </c>
      <c r="M174" s="15">
        <f t="shared" si="1"/>
        <v>-0.4610459552</v>
      </c>
      <c r="N174" s="16">
        <f t="shared" si="2"/>
        <v>72.86900369</v>
      </c>
    </row>
    <row r="175" ht="15.75" customHeight="1">
      <c r="A175" s="9" t="s">
        <v>213</v>
      </c>
      <c r="B175" s="10" t="s">
        <v>75</v>
      </c>
      <c r="C175" s="11">
        <v>45899.0</v>
      </c>
      <c r="D175" s="11">
        <v>45933.0</v>
      </c>
      <c r="E175" s="10" t="s">
        <v>16</v>
      </c>
      <c r="F175" s="12">
        <v>55839.0</v>
      </c>
      <c r="G175" s="13">
        <v>5269.0</v>
      </c>
      <c r="H175" s="13">
        <v>710.0</v>
      </c>
      <c r="I175" s="14">
        <v>87501.06</v>
      </c>
      <c r="J175" s="13">
        <v>92656.0</v>
      </c>
      <c r="K175" s="13">
        <v>2223744.0</v>
      </c>
      <c r="L175" s="10" t="s">
        <v>17</v>
      </c>
      <c r="M175" s="15">
        <f t="shared" si="1"/>
        <v>0.5670241229</v>
      </c>
      <c r="N175" s="16">
        <f t="shared" si="2"/>
        <v>78.64647887</v>
      </c>
    </row>
    <row r="176" ht="15.75" customHeight="1">
      <c r="A176" s="9" t="s">
        <v>214</v>
      </c>
      <c r="B176" s="10" t="s">
        <v>30</v>
      </c>
      <c r="C176" s="11">
        <v>45866.0</v>
      </c>
      <c r="D176" s="11">
        <v>45921.0</v>
      </c>
      <c r="E176" s="10" t="s">
        <v>26</v>
      </c>
      <c r="F176" s="12">
        <v>9804.0</v>
      </c>
      <c r="G176" s="13">
        <v>602.0</v>
      </c>
      <c r="H176" s="13">
        <v>42.0</v>
      </c>
      <c r="I176" s="14">
        <v>16743.13</v>
      </c>
      <c r="J176" s="13">
        <v>19640.0</v>
      </c>
      <c r="K176" s="13">
        <v>157120.0</v>
      </c>
      <c r="L176" s="10" t="s">
        <v>17</v>
      </c>
      <c r="M176" s="15">
        <f t="shared" si="1"/>
        <v>0.7077855977</v>
      </c>
      <c r="N176" s="16">
        <f t="shared" si="2"/>
        <v>233.4285714</v>
      </c>
    </row>
    <row r="177" ht="15.75" customHeight="1">
      <c r="A177" s="9" t="s">
        <v>215</v>
      </c>
      <c r="B177" s="10" t="s">
        <v>75</v>
      </c>
      <c r="C177" s="11">
        <v>46030.0</v>
      </c>
      <c r="D177" s="11">
        <v>46077.0</v>
      </c>
      <c r="E177" s="10" t="s">
        <v>16</v>
      </c>
      <c r="F177" s="12">
        <v>13967.0</v>
      </c>
      <c r="G177" s="13">
        <v>2235.0</v>
      </c>
      <c r="H177" s="13">
        <v>125.0</v>
      </c>
      <c r="I177" s="14">
        <v>22787.28</v>
      </c>
      <c r="J177" s="13">
        <v>21029.0</v>
      </c>
      <c r="K177" s="13">
        <v>420580.0</v>
      </c>
      <c r="L177" s="10" t="s">
        <v>17</v>
      </c>
      <c r="M177" s="15">
        <f t="shared" si="1"/>
        <v>0.6315085559</v>
      </c>
      <c r="N177" s="16">
        <f t="shared" si="2"/>
        <v>111.736</v>
      </c>
    </row>
    <row r="178" ht="15.75" customHeight="1">
      <c r="A178" s="9" t="s">
        <v>216</v>
      </c>
      <c r="B178" s="10" t="s">
        <v>19</v>
      </c>
      <c r="C178" s="11">
        <v>46051.0</v>
      </c>
      <c r="D178" s="11">
        <v>46056.0</v>
      </c>
      <c r="E178" s="10" t="s">
        <v>26</v>
      </c>
      <c r="F178" s="12">
        <v>23250.0</v>
      </c>
      <c r="G178" s="13">
        <v>1421.0</v>
      </c>
      <c r="H178" s="13">
        <v>99.0</v>
      </c>
      <c r="I178" s="14">
        <v>12966.29</v>
      </c>
      <c r="J178" s="13">
        <v>35589.0</v>
      </c>
      <c r="K178" s="13">
        <v>320301.0</v>
      </c>
      <c r="L178" s="10" t="s">
        <v>17</v>
      </c>
      <c r="M178" s="15">
        <f t="shared" si="1"/>
        <v>-0.4423101075</v>
      </c>
      <c r="N178" s="16">
        <f t="shared" si="2"/>
        <v>234.8484848</v>
      </c>
    </row>
    <row r="179" ht="15.75" customHeight="1">
      <c r="A179" s="9" t="s">
        <v>217</v>
      </c>
      <c r="B179" s="10" t="s">
        <v>56</v>
      </c>
      <c r="C179" s="11">
        <v>45929.0</v>
      </c>
      <c r="D179" s="11">
        <v>45976.0</v>
      </c>
      <c r="E179" s="10" t="s">
        <v>35</v>
      </c>
      <c r="F179" s="12">
        <v>22222.0</v>
      </c>
      <c r="G179" s="13">
        <v>217.0</v>
      </c>
      <c r="H179" s="13">
        <v>53.0</v>
      </c>
      <c r="I179" s="14">
        <v>8895.38</v>
      </c>
      <c r="J179" s="13">
        <v>11398.0</v>
      </c>
      <c r="K179" s="13">
        <v>170970.0</v>
      </c>
      <c r="L179" s="10" t="s">
        <v>17</v>
      </c>
      <c r="M179" s="15">
        <f t="shared" si="1"/>
        <v>-0.599703897</v>
      </c>
      <c r="N179" s="16">
        <f t="shared" si="2"/>
        <v>419.2830189</v>
      </c>
    </row>
    <row r="180" ht="15.75" customHeight="1">
      <c r="A180" s="9" t="s">
        <v>218</v>
      </c>
      <c r="B180" s="10" t="s">
        <v>25</v>
      </c>
      <c r="C180" s="11">
        <v>45909.0</v>
      </c>
      <c r="D180" s="11">
        <v>45938.0</v>
      </c>
      <c r="E180" s="10" t="s">
        <v>35</v>
      </c>
      <c r="F180" s="12">
        <v>4996.0</v>
      </c>
      <c r="G180" s="13">
        <v>281.0</v>
      </c>
      <c r="H180" s="13">
        <v>44.0</v>
      </c>
      <c r="I180" s="14">
        <v>8439.56</v>
      </c>
      <c r="J180" s="13">
        <v>12631.0</v>
      </c>
      <c r="K180" s="13">
        <v>239989.0</v>
      </c>
      <c r="L180" s="10" t="s">
        <v>17</v>
      </c>
      <c r="M180" s="15">
        <f t="shared" si="1"/>
        <v>0.6892634107</v>
      </c>
      <c r="N180" s="16">
        <f t="shared" si="2"/>
        <v>113.5454545</v>
      </c>
    </row>
    <row r="181" ht="15.75" customHeight="1">
      <c r="A181" s="9" t="s">
        <v>219</v>
      </c>
      <c r="B181" s="10" t="s">
        <v>25</v>
      </c>
      <c r="C181" s="11">
        <v>46194.0</v>
      </c>
      <c r="D181" s="11">
        <v>46237.0</v>
      </c>
      <c r="E181" s="10" t="s">
        <v>16</v>
      </c>
      <c r="F181" s="12">
        <v>28127.0</v>
      </c>
      <c r="G181" s="13">
        <v>2164.0</v>
      </c>
      <c r="H181" s="13">
        <v>308.0</v>
      </c>
      <c r="I181" s="14">
        <v>51426.12</v>
      </c>
      <c r="J181" s="13">
        <v>22309.0</v>
      </c>
      <c r="K181" s="13">
        <v>468489.0</v>
      </c>
      <c r="L181" s="10" t="s">
        <v>17</v>
      </c>
      <c r="M181" s="15">
        <f t="shared" si="1"/>
        <v>0.8283542504</v>
      </c>
      <c r="N181" s="16">
        <f t="shared" si="2"/>
        <v>91.32142857</v>
      </c>
    </row>
    <row r="182" ht="15.75" customHeight="1">
      <c r="A182" s="9" t="s">
        <v>220</v>
      </c>
      <c r="B182" s="10" t="s">
        <v>30</v>
      </c>
      <c r="C182" s="11">
        <v>45953.0</v>
      </c>
      <c r="D182" s="11">
        <v>46003.0</v>
      </c>
      <c r="E182" s="10" t="s">
        <v>16</v>
      </c>
      <c r="F182" s="12">
        <v>49409.0</v>
      </c>
      <c r="G182" s="13">
        <v>2985.0</v>
      </c>
      <c r="H182" s="13">
        <v>367.0</v>
      </c>
      <c r="I182" s="14">
        <v>63998.15</v>
      </c>
      <c r="J182" s="13">
        <v>66986.0</v>
      </c>
      <c r="K182" s="13">
        <v>1942594.0</v>
      </c>
      <c r="L182" s="10" t="s">
        <v>17</v>
      </c>
      <c r="M182" s="15">
        <f t="shared" si="1"/>
        <v>0.2952731284</v>
      </c>
      <c r="N182" s="16">
        <f t="shared" si="2"/>
        <v>134.6294278</v>
      </c>
    </row>
    <row r="183" ht="15.75" customHeight="1">
      <c r="A183" s="9" t="s">
        <v>221</v>
      </c>
      <c r="B183" s="10" t="s">
        <v>58</v>
      </c>
      <c r="C183" s="11">
        <v>46065.0</v>
      </c>
      <c r="D183" s="11">
        <v>46121.0</v>
      </c>
      <c r="E183" s="10" t="s">
        <v>26</v>
      </c>
      <c r="F183" s="12">
        <v>9890.0</v>
      </c>
      <c r="G183" s="13">
        <v>688.0</v>
      </c>
      <c r="H183" s="13">
        <v>51.0</v>
      </c>
      <c r="I183" s="14">
        <v>9202.65</v>
      </c>
      <c r="J183" s="13">
        <v>13683.0</v>
      </c>
      <c r="K183" s="13">
        <v>177879.0</v>
      </c>
      <c r="L183" s="10" t="s">
        <v>17</v>
      </c>
      <c r="M183" s="15">
        <f t="shared" si="1"/>
        <v>-0.06949949444</v>
      </c>
      <c r="N183" s="16">
        <f t="shared" si="2"/>
        <v>193.9215686</v>
      </c>
    </row>
    <row r="184" ht="15.75" customHeight="1">
      <c r="A184" s="9" t="s">
        <v>222</v>
      </c>
      <c r="B184" s="10" t="s">
        <v>75</v>
      </c>
      <c r="C184" s="11">
        <v>46132.0</v>
      </c>
      <c r="D184" s="11">
        <v>46170.0</v>
      </c>
      <c r="E184" s="10" t="s">
        <v>26</v>
      </c>
      <c r="F184" s="12">
        <v>14233.0</v>
      </c>
      <c r="G184" s="13">
        <v>1147.0</v>
      </c>
      <c r="H184" s="13">
        <v>27.0</v>
      </c>
      <c r="I184" s="14">
        <v>5786.17</v>
      </c>
      <c r="J184" s="13">
        <v>19642.0</v>
      </c>
      <c r="K184" s="13">
        <v>373198.0</v>
      </c>
      <c r="L184" s="10" t="s">
        <v>17</v>
      </c>
      <c r="M184" s="15">
        <f t="shared" si="1"/>
        <v>-0.5934679969</v>
      </c>
      <c r="N184" s="16">
        <f t="shared" si="2"/>
        <v>527.1481481</v>
      </c>
    </row>
    <row r="185" ht="15.75" customHeight="1">
      <c r="A185" s="9" t="s">
        <v>223</v>
      </c>
      <c r="B185" s="10" t="s">
        <v>52</v>
      </c>
      <c r="C185" s="11">
        <v>46155.0</v>
      </c>
      <c r="D185" s="11">
        <v>46191.0</v>
      </c>
      <c r="E185" s="10" t="s">
        <v>26</v>
      </c>
      <c r="F185" s="12">
        <v>18060.0</v>
      </c>
      <c r="G185" s="13">
        <v>916.0</v>
      </c>
      <c r="H185" s="13">
        <v>73.0</v>
      </c>
      <c r="I185" s="14">
        <v>3732.46</v>
      </c>
      <c r="J185" s="13">
        <v>22739.0</v>
      </c>
      <c r="K185" s="13">
        <v>204651.0</v>
      </c>
      <c r="L185" s="10" t="s">
        <v>17</v>
      </c>
      <c r="M185" s="15">
        <f t="shared" si="1"/>
        <v>-0.7933300111</v>
      </c>
      <c r="N185" s="16">
        <f t="shared" si="2"/>
        <v>247.3972603</v>
      </c>
    </row>
    <row r="186" ht="15.75" customHeight="1">
      <c r="A186" s="9" t="s">
        <v>224</v>
      </c>
      <c r="B186" s="10" t="s">
        <v>19</v>
      </c>
      <c r="C186" s="11">
        <v>46115.0</v>
      </c>
      <c r="D186" s="11">
        <v>46164.0</v>
      </c>
      <c r="E186" s="10" t="s">
        <v>26</v>
      </c>
      <c r="F186" s="12">
        <v>11767.0</v>
      </c>
      <c r="G186" s="13">
        <v>720.0</v>
      </c>
      <c r="H186" s="13">
        <v>15.0</v>
      </c>
      <c r="I186" s="14">
        <v>2050.42</v>
      </c>
      <c r="J186" s="13">
        <v>19286.0</v>
      </c>
      <c r="K186" s="13">
        <v>192860.0</v>
      </c>
      <c r="L186" s="10" t="s">
        <v>17</v>
      </c>
      <c r="M186" s="15">
        <f t="shared" si="1"/>
        <v>-0.8257482791</v>
      </c>
      <c r="N186" s="16">
        <f t="shared" si="2"/>
        <v>784.4666667</v>
      </c>
    </row>
    <row r="187" ht="15.75" customHeight="1">
      <c r="A187" s="9" t="s">
        <v>225</v>
      </c>
      <c r="B187" s="10" t="s">
        <v>28</v>
      </c>
      <c r="C187" s="11">
        <v>46159.0</v>
      </c>
      <c r="D187" s="11">
        <v>46166.0</v>
      </c>
      <c r="E187" s="10" t="s">
        <v>16</v>
      </c>
      <c r="F187" s="12">
        <v>20813.0</v>
      </c>
      <c r="G187" s="13">
        <v>1166.0</v>
      </c>
      <c r="H187" s="13">
        <v>159.0</v>
      </c>
      <c r="I187" s="14">
        <v>17025.79</v>
      </c>
      <c r="J187" s="13">
        <v>16342.0</v>
      </c>
      <c r="K187" s="13">
        <v>457576.0</v>
      </c>
      <c r="L187" s="10" t="s">
        <v>17</v>
      </c>
      <c r="M187" s="15">
        <f t="shared" si="1"/>
        <v>-0.1819636765</v>
      </c>
      <c r="N187" s="16">
        <f t="shared" si="2"/>
        <v>130.8993711</v>
      </c>
    </row>
    <row r="188" ht="15.75" customHeight="1">
      <c r="A188" s="9" t="s">
        <v>226</v>
      </c>
      <c r="B188" s="10" t="s">
        <v>62</v>
      </c>
      <c r="C188" s="11">
        <v>46008.0</v>
      </c>
      <c r="D188" s="11">
        <v>46013.0</v>
      </c>
      <c r="E188" s="10" t="s">
        <v>16</v>
      </c>
      <c r="F188" s="12">
        <v>12735.0</v>
      </c>
      <c r="G188" s="13">
        <v>1585.0</v>
      </c>
      <c r="H188" s="13">
        <v>94.0</v>
      </c>
      <c r="I188" s="14">
        <v>16102.24</v>
      </c>
      <c r="J188" s="13">
        <v>18783.0</v>
      </c>
      <c r="K188" s="13">
        <v>338094.0</v>
      </c>
      <c r="L188" s="10" t="s">
        <v>17</v>
      </c>
      <c r="M188" s="15">
        <f t="shared" si="1"/>
        <v>0.2644083235</v>
      </c>
      <c r="N188" s="16">
        <f t="shared" si="2"/>
        <v>135.4787234</v>
      </c>
    </row>
    <row r="189" ht="15.75" customHeight="1">
      <c r="A189" s="9" t="s">
        <v>227</v>
      </c>
      <c r="B189" s="10" t="s">
        <v>15</v>
      </c>
      <c r="C189" s="11">
        <v>45871.0</v>
      </c>
      <c r="D189" s="11">
        <v>45922.0</v>
      </c>
      <c r="E189" s="10" t="s">
        <v>35</v>
      </c>
      <c r="F189" s="12">
        <v>1172.0</v>
      </c>
      <c r="G189" s="13">
        <v>62.0</v>
      </c>
      <c r="H189" s="13">
        <v>14.0</v>
      </c>
      <c r="I189" s="14">
        <v>994.26</v>
      </c>
      <c r="J189" s="13">
        <v>6681.0</v>
      </c>
      <c r="K189" s="13">
        <v>133620.0</v>
      </c>
      <c r="L189" s="10" t="s">
        <v>17</v>
      </c>
      <c r="M189" s="15">
        <f t="shared" si="1"/>
        <v>-0.1516552901</v>
      </c>
      <c r="N189" s="16">
        <f t="shared" si="2"/>
        <v>83.71428571</v>
      </c>
    </row>
    <row r="190" ht="15.75" customHeight="1">
      <c r="A190" s="9" t="s">
        <v>228</v>
      </c>
      <c r="B190" s="10" t="s">
        <v>28</v>
      </c>
      <c r="C190" s="11">
        <v>46114.0</v>
      </c>
      <c r="D190" s="11">
        <v>46152.0</v>
      </c>
      <c r="E190" s="10" t="s">
        <v>16</v>
      </c>
      <c r="F190" s="12">
        <v>12578.0</v>
      </c>
      <c r="G190" s="13">
        <v>681.0</v>
      </c>
      <c r="H190" s="13">
        <v>61.0</v>
      </c>
      <c r="I190" s="14">
        <v>6353.54</v>
      </c>
      <c r="J190" s="13">
        <v>10076.0</v>
      </c>
      <c r="K190" s="13">
        <v>161216.0</v>
      </c>
      <c r="L190" s="10" t="s">
        <v>17</v>
      </c>
      <c r="M190" s="15">
        <f t="shared" si="1"/>
        <v>-0.4948688186</v>
      </c>
      <c r="N190" s="16">
        <f t="shared" si="2"/>
        <v>206.1967213</v>
      </c>
    </row>
    <row r="191" ht="15.75" customHeight="1">
      <c r="A191" s="9" t="s">
        <v>229</v>
      </c>
      <c r="B191" s="10" t="s">
        <v>62</v>
      </c>
      <c r="C191" s="11">
        <v>45874.0</v>
      </c>
      <c r="D191" s="11">
        <v>45934.0</v>
      </c>
      <c r="E191" s="10" t="s">
        <v>26</v>
      </c>
      <c r="F191" s="12">
        <v>8840.0</v>
      </c>
      <c r="G191" s="13">
        <v>637.0</v>
      </c>
      <c r="H191" s="13">
        <v>24.0</v>
      </c>
      <c r="I191" s="14">
        <v>12462.84</v>
      </c>
      <c r="J191" s="13">
        <v>15498.0</v>
      </c>
      <c r="K191" s="13">
        <v>123984.0</v>
      </c>
      <c r="L191" s="10" t="s">
        <v>17</v>
      </c>
      <c r="M191" s="15">
        <f t="shared" si="1"/>
        <v>0.4098235294</v>
      </c>
      <c r="N191" s="16">
        <f t="shared" si="2"/>
        <v>368.3333333</v>
      </c>
    </row>
    <row r="192" ht="15.75" customHeight="1">
      <c r="A192" s="9" t="s">
        <v>230</v>
      </c>
      <c r="B192" s="10" t="s">
        <v>62</v>
      </c>
      <c r="C192" s="11">
        <v>46023.0</v>
      </c>
      <c r="D192" s="11">
        <v>46034.0</v>
      </c>
      <c r="E192" s="10" t="s">
        <v>16</v>
      </c>
      <c r="F192" s="12">
        <v>51536.0</v>
      </c>
      <c r="G192" s="13">
        <v>4518.0</v>
      </c>
      <c r="H192" s="13">
        <v>656.0</v>
      </c>
      <c r="I192" s="14">
        <v>67778.89</v>
      </c>
      <c r="J192" s="13">
        <v>37402.0</v>
      </c>
      <c r="K192" s="13">
        <v>448824.0</v>
      </c>
      <c r="L192" s="10" t="s">
        <v>17</v>
      </c>
      <c r="M192" s="15">
        <f t="shared" si="1"/>
        <v>0.3151756054</v>
      </c>
      <c r="N192" s="16">
        <f t="shared" si="2"/>
        <v>78.56097561</v>
      </c>
    </row>
    <row r="193" ht="15.75" customHeight="1">
      <c r="A193" s="9" t="s">
        <v>231</v>
      </c>
      <c r="B193" s="10" t="s">
        <v>47</v>
      </c>
      <c r="C193" s="11">
        <v>45877.0</v>
      </c>
      <c r="D193" s="11">
        <v>45937.0</v>
      </c>
      <c r="E193" s="10" t="s">
        <v>26</v>
      </c>
      <c r="F193" s="12">
        <v>3110.0</v>
      </c>
      <c r="G193" s="13">
        <v>182.0</v>
      </c>
      <c r="H193" s="13">
        <v>12.0</v>
      </c>
      <c r="I193" s="14">
        <v>24807.26</v>
      </c>
      <c r="J193" s="13">
        <v>4580.0</v>
      </c>
      <c r="K193" s="13">
        <v>128240.0</v>
      </c>
      <c r="L193" s="10" t="s">
        <v>17</v>
      </c>
      <c r="M193" s="15">
        <f t="shared" si="1"/>
        <v>6.976610932</v>
      </c>
      <c r="N193" s="16">
        <f t="shared" si="2"/>
        <v>259.1666667</v>
      </c>
    </row>
    <row r="194" ht="15.75" customHeight="1">
      <c r="A194" s="9" t="s">
        <v>232</v>
      </c>
      <c r="B194" s="10" t="s">
        <v>62</v>
      </c>
      <c r="C194" s="11">
        <v>45987.0</v>
      </c>
      <c r="D194" s="11">
        <v>45998.0</v>
      </c>
      <c r="E194" s="10" t="s">
        <v>35</v>
      </c>
      <c r="F194" s="12">
        <v>4606.0</v>
      </c>
      <c r="G194" s="13">
        <v>468.0</v>
      </c>
      <c r="H194" s="13">
        <v>93.0</v>
      </c>
      <c r="I194" s="14">
        <v>24224.34</v>
      </c>
      <c r="J194" s="13">
        <v>25350.0</v>
      </c>
      <c r="K194" s="13">
        <v>304200.0</v>
      </c>
      <c r="L194" s="10" t="s">
        <v>17</v>
      </c>
      <c r="M194" s="15">
        <f t="shared" si="1"/>
        <v>4.259300912</v>
      </c>
      <c r="N194" s="16">
        <f t="shared" si="2"/>
        <v>49.52688172</v>
      </c>
    </row>
    <row r="195" ht="15.75" customHeight="1">
      <c r="A195" s="9" t="s">
        <v>233</v>
      </c>
      <c r="B195" s="10" t="s">
        <v>30</v>
      </c>
      <c r="C195" s="11">
        <v>45878.0</v>
      </c>
      <c r="D195" s="11">
        <v>45914.0</v>
      </c>
      <c r="E195" s="10" t="s">
        <v>16</v>
      </c>
      <c r="F195" s="12">
        <v>23487.0</v>
      </c>
      <c r="G195" s="13">
        <v>1915.0</v>
      </c>
      <c r="H195" s="13">
        <v>189.0</v>
      </c>
      <c r="I195" s="14">
        <v>22637.91</v>
      </c>
      <c r="J195" s="13">
        <v>16690.0</v>
      </c>
      <c r="K195" s="13">
        <v>200280.0</v>
      </c>
      <c r="L195" s="10" t="s">
        <v>17</v>
      </c>
      <c r="M195" s="15">
        <f t="shared" si="1"/>
        <v>-0.03615148806</v>
      </c>
      <c r="N195" s="16">
        <f t="shared" si="2"/>
        <v>124.2698413</v>
      </c>
    </row>
    <row r="196" ht="15.75" customHeight="1">
      <c r="A196" s="9" t="s">
        <v>234</v>
      </c>
      <c r="B196" s="10" t="s">
        <v>47</v>
      </c>
      <c r="C196" s="11">
        <v>45934.0</v>
      </c>
      <c r="D196" s="11">
        <v>45947.0</v>
      </c>
      <c r="E196" s="10" t="s">
        <v>26</v>
      </c>
      <c r="F196" s="12">
        <v>14369.0</v>
      </c>
      <c r="G196" s="13">
        <v>985.0</v>
      </c>
      <c r="H196" s="13">
        <v>55.0</v>
      </c>
      <c r="I196" s="14">
        <v>26231.8</v>
      </c>
      <c r="J196" s="13">
        <v>18184.0</v>
      </c>
      <c r="K196" s="13">
        <v>509152.0</v>
      </c>
      <c r="L196" s="10" t="s">
        <v>17</v>
      </c>
      <c r="M196" s="15">
        <f t="shared" si="1"/>
        <v>0.825582852</v>
      </c>
      <c r="N196" s="16">
        <f t="shared" si="2"/>
        <v>261.2545455</v>
      </c>
    </row>
    <row r="197" ht="15.75" customHeight="1">
      <c r="A197" s="9" t="s">
        <v>235</v>
      </c>
      <c r="B197" s="10" t="s">
        <v>38</v>
      </c>
      <c r="C197" s="11">
        <v>46149.0</v>
      </c>
      <c r="D197" s="11">
        <v>46182.0</v>
      </c>
      <c r="E197" s="10" t="s">
        <v>26</v>
      </c>
      <c r="F197" s="12">
        <v>18283.0</v>
      </c>
      <c r="G197" s="13">
        <v>1343.0</v>
      </c>
      <c r="H197" s="13">
        <v>40.0</v>
      </c>
      <c r="I197" s="14">
        <v>8073.92</v>
      </c>
      <c r="J197" s="13">
        <v>22904.0</v>
      </c>
      <c r="K197" s="13">
        <v>412272.0</v>
      </c>
      <c r="L197" s="10" t="s">
        <v>17</v>
      </c>
      <c r="M197" s="15">
        <f t="shared" si="1"/>
        <v>-0.5583919488</v>
      </c>
      <c r="N197" s="16">
        <f t="shared" si="2"/>
        <v>457.075</v>
      </c>
    </row>
    <row r="198" ht="15.75" customHeight="1">
      <c r="A198" s="9" t="s">
        <v>236</v>
      </c>
      <c r="B198" s="10" t="s">
        <v>25</v>
      </c>
      <c r="C198" s="11">
        <v>45894.0</v>
      </c>
      <c r="D198" s="11">
        <v>45898.0</v>
      </c>
      <c r="E198" s="10" t="s">
        <v>26</v>
      </c>
      <c r="F198" s="12">
        <v>9130.0</v>
      </c>
      <c r="G198" s="13">
        <v>610.0</v>
      </c>
      <c r="H198" s="13">
        <v>31.0</v>
      </c>
      <c r="I198" s="14">
        <v>6081.73</v>
      </c>
      <c r="J198" s="13">
        <v>10797.0</v>
      </c>
      <c r="K198" s="13">
        <v>269925.0</v>
      </c>
      <c r="L198" s="10" t="s">
        <v>17</v>
      </c>
      <c r="M198" s="15">
        <f t="shared" si="1"/>
        <v>-0.3338740416</v>
      </c>
      <c r="N198" s="16">
        <f t="shared" si="2"/>
        <v>294.516129</v>
      </c>
    </row>
    <row r="199" ht="15.75" customHeight="1">
      <c r="A199" s="9" t="s">
        <v>238</v>
      </c>
      <c r="B199" s="10" t="s">
        <v>56</v>
      </c>
      <c r="C199" s="11">
        <v>46174.0</v>
      </c>
      <c r="D199" s="11">
        <v>46190.0</v>
      </c>
      <c r="E199" s="10" t="s">
        <v>26</v>
      </c>
      <c r="F199" s="12">
        <v>12851.0</v>
      </c>
      <c r="G199" s="13">
        <v>1188.0</v>
      </c>
      <c r="H199" s="13">
        <v>52.0</v>
      </c>
      <c r="I199" s="14">
        <v>7203.38</v>
      </c>
      <c r="J199" s="13">
        <v>35309.0</v>
      </c>
      <c r="K199" s="13">
        <v>706180.0</v>
      </c>
      <c r="L199" s="10" t="s">
        <v>17</v>
      </c>
      <c r="M199" s="15">
        <f t="shared" si="1"/>
        <v>-0.439469302</v>
      </c>
      <c r="N199" s="16">
        <f t="shared" si="2"/>
        <v>247.1346154</v>
      </c>
    </row>
    <row r="200" ht="15.75" customHeight="1">
      <c r="A200" s="9" t="s">
        <v>239</v>
      </c>
      <c r="B200" s="10" t="s">
        <v>75</v>
      </c>
      <c r="C200" s="11">
        <v>46125.0</v>
      </c>
      <c r="D200" s="11">
        <v>46163.0</v>
      </c>
      <c r="E200" s="10" t="s">
        <v>26</v>
      </c>
      <c r="F200" s="12">
        <v>18351.0</v>
      </c>
      <c r="G200" s="13">
        <v>1929.0</v>
      </c>
      <c r="H200" s="13">
        <v>67.0</v>
      </c>
      <c r="I200" s="14">
        <v>12119.9</v>
      </c>
      <c r="J200" s="13">
        <v>37915.0</v>
      </c>
      <c r="K200" s="13">
        <v>1137450.0</v>
      </c>
      <c r="L200" s="10" t="s">
        <v>17</v>
      </c>
      <c r="M200" s="15">
        <f t="shared" si="1"/>
        <v>-0.3395509781</v>
      </c>
      <c r="N200" s="16">
        <f t="shared" si="2"/>
        <v>273.8955224</v>
      </c>
    </row>
    <row r="201" ht="15.75" customHeight="1">
      <c r="A201" s="9" t="s">
        <v>240</v>
      </c>
      <c r="B201" s="10" t="s">
        <v>38</v>
      </c>
      <c r="C201" s="11">
        <v>46153.0</v>
      </c>
      <c r="D201" s="11">
        <v>46200.0</v>
      </c>
      <c r="E201" s="10" t="s">
        <v>35</v>
      </c>
      <c r="F201" s="12">
        <v>1226.0</v>
      </c>
      <c r="G201" s="13">
        <v>300.0</v>
      </c>
      <c r="H201" s="13">
        <v>39.0</v>
      </c>
      <c r="I201" s="14">
        <v>2209.11</v>
      </c>
      <c r="J201" s="13">
        <v>2514.0</v>
      </c>
      <c r="K201" s="13">
        <v>25140.0</v>
      </c>
      <c r="L201" s="10" t="s">
        <v>17</v>
      </c>
      <c r="M201" s="15">
        <f t="shared" si="1"/>
        <v>0.8018841762</v>
      </c>
      <c r="N201" s="16">
        <f t="shared" si="2"/>
        <v>31.43589744</v>
      </c>
    </row>
    <row r="202" ht="15.75" customHeight="1">
      <c r="A202" s="9" t="s">
        <v>241</v>
      </c>
      <c r="B202" s="10" t="s">
        <v>62</v>
      </c>
      <c r="C202" s="11">
        <v>46105.0</v>
      </c>
      <c r="D202" s="11">
        <v>46126.0</v>
      </c>
      <c r="E202" s="10" t="s">
        <v>16</v>
      </c>
      <c r="F202" s="12">
        <v>53635.0</v>
      </c>
      <c r="G202" s="13">
        <v>3274.0</v>
      </c>
      <c r="H202" s="13">
        <v>573.0</v>
      </c>
      <c r="I202" s="14">
        <v>28427.52</v>
      </c>
      <c r="J202" s="13">
        <v>96212.0</v>
      </c>
      <c r="K202" s="13">
        <v>2597724.0</v>
      </c>
      <c r="L202" s="10" t="s">
        <v>17</v>
      </c>
      <c r="M202" s="15">
        <f t="shared" si="1"/>
        <v>-0.4699819148</v>
      </c>
      <c r="N202" s="16">
        <f t="shared" si="2"/>
        <v>93.60383944</v>
      </c>
    </row>
    <row r="203" ht="15.75" customHeight="1">
      <c r="A203" s="9" t="s">
        <v>242</v>
      </c>
      <c r="B203" s="10" t="s">
        <v>15</v>
      </c>
      <c r="C203" s="11">
        <v>45970.0</v>
      </c>
      <c r="D203" s="11">
        <v>46029.0</v>
      </c>
      <c r="E203" s="10" t="s">
        <v>35</v>
      </c>
      <c r="F203" s="12">
        <v>2849.0</v>
      </c>
      <c r="G203" s="13">
        <v>218.0</v>
      </c>
      <c r="H203" s="13">
        <v>52.0</v>
      </c>
      <c r="I203" s="14">
        <v>10084.67</v>
      </c>
      <c r="J203" s="13">
        <v>5836.0</v>
      </c>
      <c r="K203" s="13">
        <v>46688.0</v>
      </c>
      <c r="L203" s="10" t="s">
        <v>17</v>
      </c>
      <c r="M203" s="15">
        <f t="shared" si="1"/>
        <v>2.53972271</v>
      </c>
      <c r="N203" s="16">
        <f t="shared" si="2"/>
        <v>54.78846154</v>
      </c>
    </row>
    <row r="204" ht="15.75" customHeight="1">
      <c r="A204" s="9" t="s">
        <v>243</v>
      </c>
      <c r="B204" s="10" t="s">
        <v>47</v>
      </c>
      <c r="C204" s="11">
        <v>45956.0</v>
      </c>
      <c r="D204" s="11">
        <v>46010.0</v>
      </c>
      <c r="E204" s="10" t="s">
        <v>35</v>
      </c>
      <c r="F204" s="12">
        <v>3386.0</v>
      </c>
      <c r="G204" s="13">
        <v>269.0</v>
      </c>
      <c r="H204" s="13">
        <v>49.0</v>
      </c>
      <c r="I204" s="14">
        <v>17705.86</v>
      </c>
      <c r="J204" s="13">
        <v>12376.0</v>
      </c>
      <c r="K204" s="13">
        <v>309400.0</v>
      </c>
      <c r="L204" s="10" t="s">
        <v>17</v>
      </c>
      <c r="M204" s="15">
        <f t="shared" si="1"/>
        <v>4.229137626</v>
      </c>
      <c r="N204" s="16">
        <f t="shared" si="2"/>
        <v>69.10204082</v>
      </c>
    </row>
    <row r="205" ht="15.75" customHeight="1">
      <c r="A205" s="9" t="s">
        <v>244</v>
      </c>
      <c r="B205" s="10" t="s">
        <v>47</v>
      </c>
      <c r="C205" s="11">
        <v>46188.0</v>
      </c>
      <c r="D205" s="11">
        <v>46203.0</v>
      </c>
      <c r="E205" s="10" t="s">
        <v>26</v>
      </c>
      <c r="F205" s="12">
        <v>18851.0</v>
      </c>
      <c r="G205" s="13">
        <v>2394.0</v>
      </c>
      <c r="H205" s="13">
        <v>153.0</v>
      </c>
      <c r="I205" s="14">
        <v>33160.79</v>
      </c>
      <c r="J205" s="13">
        <v>42754.0</v>
      </c>
      <c r="K205" s="13">
        <v>470294.0</v>
      </c>
      <c r="L205" s="10" t="s">
        <v>17</v>
      </c>
      <c r="M205" s="15">
        <f t="shared" si="1"/>
        <v>0.7590997825</v>
      </c>
      <c r="N205" s="16">
        <f t="shared" si="2"/>
        <v>123.2091503</v>
      </c>
    </row>
    <row r="206" ht="15.75" customHeight="1">
      <c r="A206" s="9" t="s">
        <v>245</v>
      </c>
      <c r="B206" s="10" t="s">
        <v>38</v>
      </c>
      <c r="C206" s="11">
        <v>46116.0</v>
      </c>
      <c r="D206" s="11">
        <v>46121.0</v>
      </c>
      <c r="E206" s="10" t="s">
        <v>26</v>
      </c>
      <c r="F206" s="12">
        <v>18303.0</v>
      </c>
      <c r="G206" s="13">
        <v>996.0</v>
      </c>
      <c r="H206" s="13">
        <v>42.0</v>
      </c>
      <c r="I206" s="14">
        <v>8573.74</v>
      </c>
      <c r="J206" s="13">
        <v>37410.0</v>
      </c>
      <c r="K206" s="13">
        <v>748200.0</v>
      </c>
      <c r="L206" s="10" t="s">
        <v>17</v>
      </c>
      <c r="M206" s="15">
        <f t="shared" si="1"/>
        <v>-0.5315664099</v>
      </c>
      <c r="N206" s="16">
        <f t="shared" si="2"/>
        <v>435.7857143</v>
      </c>
    </row>
    <row r="207" ht="15.75" customHeight="1">
      <c r="A207" s="9" t="s">
        <v>246</v>
      </c>
      <c r="B207" s="10" t="s">
        <v>52</v>
      </c>
      <c r="C207" s="11">
        <v>45973.0</v>
      </c>
      <c r="D207" s="11">
        <v>45991.0</v>
      </c>
      <c r="E207" s="10" t="s">
        <v>26</v>
      </c>
      <c r="F207" s="12">
        <v>11327.0</v>
      </c>
      <c r="G207" s="13">
        <v>1149.0</v>
      </c>
      <c r="H207" s="13">
        <v>55.0</v>
      </c>
      <c r="I207" s="14">
        <v>6743.41</v>
      </c>
      <c r="J207" s="13">
        <v>16960.0</v>
      </c>
      <c r="K207" s="13">
        <v>220480.0</v>
      </c>
      <c r="L207" s="10" t="s">
        <v>17</v>
      </c>
      <c r="M207" s="15">
        <f t="shared" si="1"/>
        <v>-0.4046605456</v>
      </c>
      <c r="N207" s="16">
        <f t="shared" si="2"/>
        <v>205.9454545</v>
      </c>
    </row>
    <row r="208" ht="15.75" customHeight="1">
      <c r="A208" s="9" t="s">
        <v>247</v>
      </c>
      <c r="B208" s="10" t="s">
        <v>19</v>
      </c>
      <c r="C208" s="11">
        <v>45959.0</v>
      </c>
      <c r="D208" s="11">
        <v>45997.0</v>
      </c>
      <c r="E208" s="10" t="s">
        <v>35</v>
      </c>
      <c r="F208" s="12">
        <v>4340.0</v>
      </c>
      <c r="G208" s="13">
        <v>258.0</v>
      </c>
      <c r="H208" s="13">
        <v>69.0</v>
      </c>
      <c r="I208" s="14">
        <v>5621.27</v>
      </c>
      <c r="J208" s="13">
        <v>19851.0</v>
      </c>
      <c r="K208" s="13">
        <v>496275.0</v>
      </c>
      <c r="L208" s="10" t="s">
        <v>17</v>
      </c>
      <c r="M208" s="15">
        <f t="shared" si="1"/>
        <v>0.2952235023</v>
      </c>
      <c r="N208" s="16">
        <f t="shared" si="2"/>
        <v>62.89855072</v>
      </c>
    </row>
    <row r="209" ht="15.75" customHeight="1">
      <c r="A209" s="9" t="s">
        <v>248</v>
      </c>
      <c r="B209" s="10" t="s">
        <v>47</v>
      </c>
      <c r="C209" s="11">
        <v>46049.0</v>
      </c>
      <c r="D209" s="11">
        <v>46059.0</v>
      </c>
      <c r="E209" s="10" t="s">
        <v>26</v>
      </c>
      <c r="F209" s="12">
        <v>14004.0</v>
      </c>
      <c r="G209" s="13">
        <v>1949.0</v>
      </c>
      <c r="H209" s="13">
        <v>140.0</v>
      </c>
      <c r="I209" s="14">
        <v>21460.35</v>
      </c>
      <c r="J209" s="13">
        <v>15952.0</v>
      </c>
      <c r="K209" s="13">
        <v>366896.0</v>
      </c>
      <c r="L209" s="10" t="s">
        <v>17</v>
      </c>
      <c r="M209" s="15">
        <f t="shared" si="1"/>
        <v>0.5324443016</v>
      </c>
      <c r="N209" s="16">
        <f t="shared" si="2"/>
        <v>100.0285714</v>
      </c>
    </row>
    <row r="210" ht="15.75" customHeight="1">
      <c r="A210" s="9" t="s">
        <v>249</v>
      </c>
      <c r="B210" s="10" t="s">
        <v>30</v>
      </c>
      <c r="C210" s="11">
        <v>46162.0</v>
      </c>
      <c r="D210" s="11">
        <v>46174.0</v>
      </c>
      <c r="E210" s="10" t="s">
        <v>26</v>
      </c>
      <c r="F210" s="12">
        <v>7991.0</v>
      </c>
      <c r="G210" s="13">
        <v>743.0</v>
      </c>
      <c r="H210" s="13">
        <v>43.0</v>
      </c>
      <c r="I210" s="14">
        <v>26413.92</v>
      </c>
      <c r="J210" s="13">
        <v>9322.0</v>
      </c>
      <c r="K210" s="13">
        <v>261016.0</v>
      </c>
      <c r="L210" s="10" t="s">
        <v>17</v>
      </c>
      <c r="M210" s="15">
        <f t="shared" si="1"/>
        <v>2.305458641</v>
      </c>
      <c r="N210" s="16">
        <f t="shared" si="2"/>
        <v>185.8372093</v>
      </c>
    </row>
    <row r="211" ht="15.75" customHeight="1">
      <c r="A211" s="9" t="s">
        <v>250</v>
      </c>
      <c r="B211" s="10" t="s">
        <v>62</v>
      </c>
      <c r="C211" s="11">
        <v>45891.0</v>
      </c>
      <c r="D211" s="11">
        <v>45900.0</v>
      </c>
      <c r="E211" s="10" t="s">
        <v>26</v>
      </c>
      <c r="F211" s="12">
        <v>4590.0</v>
      </c>
      <c r="G211" s="13">
        <v>944.0</v>
      </c>
      <c r="H211" s="13">
        <v>71.0</v>
      </c>
      <c r="I211" s="14">
        <v>12925.78</v>
      </c>
      <c r="J211" s="13">
        <v>7860.0</v>
      </c>
      <c r="K211" s="13">
        <v>157200.0</v>
      </c>
      <c r="L211" s="10" t="s">
        <v>17</v>
      </c>
      <c r="M211" s="15">
        <f t="shared" si="1"/>
        <v>1.816074074</v>
      </c>
      <c r="N211" s="16">
        <f t="shared" si="2"/>
        <v>64.64788732</v>
      </c>
    </row>
    <row r="212" ht="15.75" customHeight="1">
      <c r="A212" s="9" t="s">
        <v>251</v>
      </c>
      <c r="B212" s="10" t="s">
        <v>58</v>
      </c>
      <c r="C212" s="11">
        <v>46108.0</v>
      </c>
      <c r="D212" s="11">
        <v>46164.0</v>
      </c>
      <c r="E212" s="10" t="s">
        <v>26</v>
      </c>
      <c r="F212" s="12">
        <v>8090.0</v>
      </c>
      <c r="G212" s="13">
        <v>455.0</v>
      </c>
      <c r="H212" s="13">
        <v>9.0</v>
      </c>
      <c r="I212" s="14">
        <v>925.97</v>
      </c>
      <c r="J212" s="13">
        <v>11588.0</v>
      </c>
      <c r="K212" s="13">
        <v>347640.0</v>
      </c>
      <c r="L212" s="10" t="s">
        <v>17</v>
      </c>
      <c r="M212" s="15">
        <f t="shared" si="1"/>
        <v>-0.8855414091</v>
      </c>
      <c r="N212" s="16">
        <f t="shared" si="2"/>
        <v>898.8888889</v>
      </c>
    </row>
    <row r="213" ht="15.75" customHeight="1">
      <c r="A213" s="9" t="s">
        <v>252</v>
      </c>
      <c r="B213" s="10" t="s">
        <v>28</v>
      </c>
      <c r="C213" s="11">
        <v>46127.0</v>
      </c>
      <c r="D213" s="11">
        <v>46157.0</v>
      </c>
      <c r="E213" s="10" t="s">
        <v>16</v>
      </c>
      <c r="F213" s="12">
        <v>41305.0</v>
      </c>
      <c r="G213" s="13">
        <v>2227.0</v>
      </c>
      <c r="H213" s="13">
        <v>2230.0</v>
      </c>
      <c r="I213" s="14">
        <v>35669.97</v>
      </c>
      <c r="J213" s="13">
        <v>39955.0</v>
      </c>
      <c r="K213" s="13">
        <v>319640.0</v>
      </c>
      <c r="L213" s="10" t="s">
        <v>17</v>
      </c>
      <c r="M213" s="15">
        <f t="shared" si="1"/>
        <v>-0.136424888</v>
      </c>
      <c r="N213" s="16">
        <f t="shared" si="2"/>
        <v>18.52242152</v>
      </c>
    </row>
    <row r="214" ht="15.75" customHeight="1">
      <c r="A214" s="9" t="s">
        <v>253</v>
      </c>
      <c r="B214" s="10" t="s">
        <v>38</v>
      </c>
      <c r="C214" s="11">
        <v>46090.0</v>
      </c>
      <c r="D214" s="11">
        <v>46141.0</v>
      </c>
      <c r="E214" s="10" t="s">
        <v>35</v>
      </c>
      <c r="F214" s="12">
        <v>4708.0</v>
      </c>
      <c r="G214" s="13">
        <v>280.0</v>
      </c>
      <c r="H214" s="13">
        <v>44.0</v>
      </c>
      <c r="I214" s="14">
        <v>7192.12</v>
      </c>
      <c r="J214" s="13">
        <v>11261.0</v>
      </c>
      <c r="K214" s="13">
        <v>168915.0</v>
      </c>
      <c r="L214" s="10" t="s">
        <v>17</v>
      </c>
      <c r="M214" s="15">
        <f t="shared" si="1"/>
        <v>0.5276380629</v>
      </c>
      <c r="N214" s="16">
        <f t="shared" si="2"/>
        <v>107</v>
      </c>
    </row>
    <row r="215" ht="15.75" customHeight="1">
      <c r="A215" s="9" t="s">
        <v>254</v>
      </c>
      <c r="B215" s="10" t="s">
        <v>47</v>
      </c>
      <c r="C215" s="11">
        <v>45879.0</v>
      </c>
      <c r="D215" s="11">
        <v>45909.0</v>
      </c>
      <c r="E215" s="10" t="s">
        <v>26</v>
      </c>
      <c r="F215" s="12">
        <v>22990.0</v>
      </c>
      <c r="G215" s="13">
        <v>1238.0</v>
      </c>
      <c r="H215" s="13">
        <v>42.0</v>
      </c>
      <c r="I215" s="14">
        <v>28275.51</v>
      </c>
      <c r="J215" s="13">
        <v>30300.0</v>
      </c>
      <c r="K215" s="13">
        <v>303000.0</v>
      </c>
      <c r="L215" s="10" t="s">
        <v>17</v>
      </c>
      <c r="M215" s="15">
        <f t="shared" si="1"/>
        <v>0.2299047412</v>
      </c>
      <c r="N215" s="16">
        <f t="shared" si="2"/>
        <v>547.3809524</v>
      </c>
    </row>
    <row r="216" ht="15.75" customHeight="1">
      <c r="A216" s="9" t="s">
        <v>255</v>
      </c>
      <c r="B216" s="10" t="s">
        <v>38</v>
      </c>
      <c r="C216" s="11">
        <v>46197.0</v>
      </c>
      <c r="D216" s="11">
        <v>46239.0</v>
      </c>
      <c r="E216" s="10" t="s">
        <v>16</v>
      </c>
      <c r="F216" s="12">
        <v>39243.0</v>
      </c>
      <c r="G216" s="13">
        <v>8185.0</v>
      </c>
      <c r="H216" s="13">
        <v>609.0</v>
      </c>
      <c r="I216" s="14">
        <v>17572.68</v>
      </c>
      <c r="J216" s="13">
        <v>75555.0</v>
      </c>
      <c r="K216" s="13">
        <v>1133325.0</v>
      </c>
      <c r="L216" s="10" t="s">
        <v>17</v>
      </c>
      <c r="M216" s="15">
        <f t="shared" si="1"/>
        <v>-0.5522085467</v>
      </c>
      <c r="N216" s="16">
        <f t="shared" si="2"/>
        <v>64.43842365</v>
      </c>
    </row>
    <row r="217" ht="15.75" customHeight="1">
      <c r="A217" s="9" t="s">
        <v>256</v>
      </c>
      <c r="B217" s="10" t="s">
        <v>58</v>
      </c>
      <c r="C217" s="11">
        <v>46094.0</v>
      </c>
      <c r="D217" s="11">
        <v>46120.0</v>
      </c>
      <c r="E217" s="10" t="s">
        <v>26</v>
      </c>
      <c r="F217" s="12">
        <v>17694.0</v>
      </c>
      <c r="G217" s="13">
        <v>3348.0</v>
      </c>
      <c r="H217" s="13">
        <v>206.0</v>
      </c>
      <c r="I217" s="14">
        <v>32828.04</v>
      </c>
      <c r="J217" s="13">
        <v>55459.0</v>
      </c>
      <c r="K217" s="13">
        <v>887344.0</v>
      </c>
      <c r="L217" s="10" t="s">
        <v>17</v>
      </c>
      <c r="M217" s="15">
        <f t="shared" si="1"/>
        <v>0.8553204476</v>
      </c>
      <c r="N217" s="16">
        <f t="shared" si="2"/>
        <v>85.89320388</v>
      </c>
    </row>
    <row r="218" ht="15.75" customHeight="1">
      <c r="A218" s="9" t="s">
        <v>257</v>
      </c>
      <c r="B218" s="10" t="s">
        <v>56</v>
      </c>
      <c r="C218" s="11">
        <v>46065.0</v>
      </c>
      <c r="D218" s="11">
        <v>46083.0</v>
      </c>
      <c r="E218" s="10" t="s">
        <v>26</v>
      </c>
      <c r="F218" s="12">
        <v>23598.0</v>
      </c>
      <c r="G218" s="13">
        <v>653.0</v>
      </c>
      <c r="H218" s="13">
        <v>20.0</v>
      </c>
      <c r="I218" s="14">
        <v>2981.76</v>
      </c>
      <c r="J218" s="13">
        <v>4854.0</v>
      </c>
      <c r="K218" s="13">
        <v>43686.0</v>
      </c>
      <c r="L218" s="10" t="s">
        <v>17</v>
      </c>
      <c r="M218" s="15">
        <f t="shared" si="1"/>
        <v>-0.8736435291</v>
      </c>
      <c r="N218" s="16">
        <f t="shared" si="2"/>
        <v>1179.9</v>
      </c>
    </row>
    <row r="219" ht="15.75" customHeight="1">
      <c r="A219" s="9" t="s">
        <v>258</v>
      </c>
      <c r="B219" s="10" t="s">
        <v>58</v>
      </c>
      <c r="C219" s="11">
        <v>45940.0</v>
      </c>
      <c r="D219" s="11">
        <v>45966.0</v>
      </c>
      <c r="E219" s="10" t="s">
        <v>16</v>
      </c>
      <c r="F219" s="12">
        <v>10413.0</v>
      </c>
      <c r="G219" s="13">
        <v>1793.0</v>
      </c>
      <c r="H219" s="13">
        <v>290.0</v>
      </c>
      <c r="I219" s="14">
        <v>43220.03</v>
      </c>
      <c r="J219" s="13">
        <v>14507.0</v>
      </c>
      <c r="K219" s="13">
        <v>116056.0</v>
      </c>
      <c r="L219" s="10" t="s">
        <v>17</v>
      </c>
      <c r="M219" s="15">
        <f t="shared" si="1"/>
        <v>3.150583886</v>
      </c>
      <c r="N219" s="16">
        <f t="shared" si="2"/>
        <v>35.90689655</v>
      </c>
    </row>
    <row r="220" ht="15.75" customHeight="1">
      <c r="A220" s="9" t="s">
        <v>259</v>
      </c>
      <c r="B220" s="10" t="s">
        <v>19</v>
      </c>
      <c r="C220" s="11">
        <v>46029.0</v>
      </c>
      <c r="D220" s="11">
        <v>46081.0</v>
      </c>
      <c r="E220" s="10" t="s">
        <v>16</v>
      </c>
      <c r="F220" s="12">
        <v>12864.0</v>
      </c>
      <c r="G220" s="13">
        <v>859.0</v>
      </c>
      <c r="H220" s="13">
        <v>70.0</v>
      </c>
      <c r="I220" s="14">
        <v>8406.26</v>
      </c>
      <c r="J220" s="13">
        <v>12865.0</v>
      </c>
      <c r="K220" s="13">
        <v>321625.0</v>
      </c>
      <c r="L220" s="10" t="s">
        <v>17</v>
      </c>
      <c r="M220" s="15">
        <f t="shared" si="1"/>
        <v>-0.346528296</v>
      </c>
      <c r="N220" s="16">
        <f t="shared" si="2"/>
        <v>183.7714286</v>
      </c>
    </row>
    <row r="221" ht="15.75" customHeight="1">
      <c r="A221" s="9" t="s">
        <v>260</v>
      </c>
      <c r="B221" s="10" t="s">
        <v>30</v>
      </c>
      <c r="C221" s="11">
        <v>46016.0</v>
      </c>
      <c r="D221" s="11">
        <v>46070.0</v>
      </c>
      <c r="E221" s="10" t="s">
        <v>35</v>
      </c>
      <c r="F221" s="12">
        <v>4393.0</v>
      </c>
      <c r="G221" s="13">
        <v>437.0</v>
      </c>
      <c r="H221" s="13">
        <v>107.0</v>
      </c>
      <c r="I221" s="14">
        <v>10002.85</v>
      </c>
      <c r="J221" s="13">
        <v>27896.0</v>
      </c>
      <c r="K221" s="13">
        <v>725296.0</v>
      </c>
      <c r="L221" s="10" t="s">
        <v>17</v>
      </c>
      <c r="M221" s="15">
        <f t="shared" si="1"/>
        <v>1.276997496</v>
      </c>
      <c r="N221" s="16">
        <f t="shared" si="2"/>
        <v>41.05607477</v>
      </c>
    </row>
    <row r="222" ht="15.75" customHeight="1">
      <c r="A222" s="9" t="s">
        <v>262</v>
      </c>
      <c r="B222" s="10" t="s">
        <v>62</v>
      </c>
      <c r="C222" s="11">
        <v>46025.0</v>
      </c>
      <c r="D222" s="11">
        <v>46077.0</v>
      </c>
      <c r="E222" s="10" t="s">
        <v>16</v>
      </c>
      <c r="F222" s="12">
        <v>47645.0</v>
      </c>
      <c r="G222" s="13">
        <v>3278.0</v>
      </c>
      <c r="H222" s="13">
        <v>265.0</v>
      </c>
      <c r="I222" s="14">
        <v>36067.5</v>
      </c>
      <c r="J222" s="13">
        <v>39021.0</v>
      </c>
      <c r="K222" s="13">
        <v>702378.0</v>
      </c>
      <c r="L222" s="10" t="s">
        <v>17</v>
      </c>
      <c r="M222" s="15">
        <f t="shared" si="1"/>
        <v>-0.2429950677</v>
      </c>
      <c r="N222" s="16">
        <f t="shared" si="2"/>
        <v>179.7924528</v>
      </c>
    </row>
    <row r="223" ht="15.75" customHeight="1">
      <c r="A223" s="9" t="s">
        <v>263</v>
      </c>
      <c r="B223" s="10" t="s">
        <v>15</v>
      </c>
      <c r="C223" s="11">
        <v>45905.0</v>
      </c>
      <c r="D223" s="11">
        <v>45919.0</v>
      </c>
      <c r="E223" s="10" t="s">
        <v>26</v>
      </c>
      <c r="F223" s="12">
        <v>3524.0</v>
      </c>
      <c r="G223" s="13">
        <v>631.0</v>
      </c>
      <c r="H223" s="13">
        <v>20.0</v>
      </c>
      <c r="I223" s="14">
        <v>3204.47</v>
      </c>
      <c r="J223" s="13">
        <v>5960.0</v>
      </c>
      <c r="K223" s="13">
        <v>113240.0</v>
      </c>
      <c r="L223" s="10" t="s">
        <v>17</v>
      </c>
      <c r="M223" s="15">
        <f t="shared" si="1"/>
        <v>-0.09067253121</v>
      </c>
      <c r="N223" s="16">
        <f t="shared" si="2"/>
        <v>176.2</v>
      </c>
    </row>
    <row r="224" ht="15.75" customHeight="1">
      <c r="A224" s="9" t="s">
        <v>264</v>
      </c>
      <c r="B224" s="10" t="s">
        <v>58</v>
      </c>
      <c r="C224" s="11">
        <v>45879.0</v>
      </c>
      <c r="D224" s="11">
        <v>45911.0</v>
      </c>
      <c r="E224" s="10" t="s">
        <v>35</v>
      </c>
      <c r="F224" s="12">
        <v>1297.0</v>
      </c>
      <c r="G224" s="13">
        <v>71.0</v>
      </c>
      <c r="H224" s="13">
        <v>12.0</v>
      </c>
      <c r="I224" s="14">
        <v>1349.08</v>
      </c>
      <c r="J224" s="13">
        <v>3161.0</v>
      </c>
      <c r="K224" s="13">
        <v>31610.0</v>
      </c>
      <c r="L224" s="10" t="s">
        <v>17</v>
      </c>
      <c r="M224" s="15">
        <f t="shared" si="1"/>
        <v>0.040154202</v>
      </c>
      <c r="N224" s="16">
        <f t="shared" si="2"/>
        <v>108.0833333</v>
      </c>
    </row>
    <row r="225" ht="15.75" customHeight="1">
      <c r="A225" s="9" t="s">
        <v>265</v>
      </c>
      <c r="B225" s="10" t="s">
        <v>25</v>
      </c>
      <c r="C225" s="11">
        <v>46036.0</v>
      </c>
      <c r="D225" s="11">
        <v>46051.0</v>
      </c>
      <c r="E225" s="10" t="s">
        <v>26</v>
      </c>
      <c r="F225" s="12">
        <v>8828.0</v>
      </c>
      <c r="G225" s="13">
        <v>630.0</v>
      </c>
      <c r="H225" s="13">
        <v>32.0</v>
      </c>
      <c r="I225" s="14">
        <v>2682.08</v>
      </c>
      <c r="J225" s="13">
        <v>19650.0</v>
      </c>
      <c r="K225" s="13">
        <v>432300.0</v>
      </c>
      <c r="L225" s="10" t="s">
        <v>17</v>
      </c>
      <c r="M225" s="15">
        <f t="shared" si="1"/>
        <v>-0.6961848663</v>
      </c>
      <c r="N225" s="16">
        <f t="shared" si="2"/>
        <v>275.875</v>
      </c>
    </row>
    <row r="226" ht="15.75" customHeight="1">
      <c r="A226" s="9" t="s">
        <v>266</v>
      </c>
      <c r="B226" s="10" t="s">
        <v>19</v>
      </c>
      <c r="C226" s="11">
        <v>46097.0</v>
      </c>
      <c r="D226" s="11">
        <v>46121.0</v>
      </c>
      <c r="E226" s="10" t="s">
        <v>16</v>
      </c>
      <c r="F226" s="12">
        <v>50092.0</v>
      </c>
      <c r="G226" s="13">
        <v>4517.0</v>
      </c>
      <c r="H226" s="13">
        <v>318.0</v>
      </c>
      <c r="I226" s="14">
        <v>32617.59</v>
      </c>
      <c r="J226" s="13">
        <v>33429.0</v>
      </c>
      <c r="K226" s="13">
        <v>702009.0</v>
      </c>
      <c r="L226" s="10" t="s">
        <v>17</v>
      </c>
      <c r="M226" s="15">
        <f t="shared" si="1"/>
        <v>-0.3488463228</v>
      </c>
      <c r="N226" s="16">
        <f t="shared" si="2"/>
        <v>157.5220126</v>
      </c>
    </row>
    <row r="227" ht="15.75" customHeight="1">
      <c r="A227" s="9" t="s">
        <v>267</v>
      </c>
      <c r="B227" s="10" t="s">
        <v>56</v>
      </c>
      <c r="C227" s="11">
        <v>46122.0</v>
      </c>
      <c r="D227" s="11">
        <v>46157.0</v>
      </c>
      <c r="E227" s="10" t="s">
        <v>35</v>
      </c>
      <c r="F227" s="12">
        <v>2067.0</v>
      </c>
      <c r="G227" s="13">
        <v>318.0</v>
      </c>
      <c r="H227" s="13">
        <v>37.0</v>
      </c>
      <c r="I227" s="14">
        <v>3830.6</v>
      </c>
      <c r="J227" s="13">
        <v>6643.0</v>
      </c>
      <c r="K227" s="13">
        <v>172718.0</v>
      </c>
      <c r="L227" s="10" t="s">
        <v>17</v>
      </c>
      <c r="M227" s="15">
        <f t="shared" si="1"/>
        <v>0.853217223</v>
      </c>
      <c r="N227" s="16">
        <f t="shared" si="2"/>
        <v>55.86486486</v>
      </c>
    </row>
    <row r="228" ht="15.75" customHeight="1">
      <c r="A228" s="9" t="s">
        <v>268</v>
      </c>
      <c r="B228" s="10" t="s">
        <v>15</v>
      </c>
      <c r="C228" s="11">
        <v>46192.0</v>
      </c>
      <c r="D228" s="11">
        <v>46239.0</v>
      </c>
      <c r="E228" s="10" t="s">
        <v>26</v>
      </c>
      <c r="F228" s="12">
        <v>21381.0</v>
      </c>
      <c r="G228" s="13">
        <v>1497.0</v>
      </c>
      <c r="H228" s="13">
        <v>103.0</v>
      </c>
      <c r="I228" s="14">
        <v>6021.14</v>
      </c>
      <c r="J228" s="13">
        <v>59854.0</v>
      </c>
      <c r="K228" s="13">
        <v>1256934.0</v>
      </c>
      <c r="L228" s="10" t="s">
        <v>17</v>
      </c>
      <c r="M228" s="15">
        <f t="shared" si="1"/>
        <v>-0.7183882887</v>
      </c>
      <c r="N228" s="16">
        <f t="shared" si="2"/>
        <v>207.5825243</v>
      </c>
    </row>
    <row r="229" ht="15.75" customHeight="1">
      <c r="A229" s="9" t="s">
        <v>269</v>
      </c>
      <c r="B229" s="10" t="s">
        <v>38</v>
      </c>
      <c r="C229" s="11">
        <v>46147.0</v>
      </c>
      <c r="D229" s="11">
        <v>46150.0</v>
      </c>
      <c r="E229" s="10" t="s">
        <v>35</v>
      </c>
      <c r="F229" s="12">
        <v>3933.0</v>
      </c>
      <c r="G229" s="13">
        <v>431.0</v>
      </c>
      <c r="H229" s="13">
        <v>47.0</v>
      </c>
      <c r="I229" s="14">
        <v>6483.23</v>
      </c>
      <c r="J229" s="13">
        <v>11791.0</v>
      </c>
      <c r="K229" s="13">
        <v>259402.0</v>
      </c>
      <c r="L229" s="10" t="s">
        <v>17</v>
      </c>
      <c r="M229" s="15">
        <f t="shared" si="1"/>
        <v>0.64841851</v>
      </c>
      <c r="N229" s="16">
        <f t="shared" si="2"/>
        <v>83.68085106</v>
      </c>
    </row>
    <row r="230" ht="15.75" customHeight="1">
      <c r="A230" s="9" t="s">
        <v>270</v>
      </c>
      <c r="B230" s="10" t="s">
        <v>15</v>
      </c>
      <c r="C230" s="11">
        <v>46040.0</v>
      </c>
      <c r="D230" s="11">
        <v>46052.0</v>
      </c>
      <c r="E230" s="10" t="s">
        <v>26</v>
      </c>
      <c r="F230" s="12">
        <v>36831.0</v>
      </c>
      <c r="G230" s="13">
        <v>428.0</v>
      </c>
      <c r="H230" s="13">
        <v>17.0</v>
      </c>
      <c r="I230" s="14">
        <v>2253.68</v>
      </c>
      <c r="J230" s="13">
        <v>11666.0</v>
      </c>
      <c r="K230" s="13">
        <v>268318.0</v>
      </c>
      <c r="L230" s="10" t="s">
        <v>17</v>
      </c>
      <c r="M230" s="15">
        <f t="shared" si="1"/>
        <v>-0.9388102414</v>
      </c>
      <c r="N230" s="16">
        <f t="shared" si="2"/>
        <v>2166.529412</v>
      </c>
    </row>
    <row r="231" ht="15.75" customHeight="1">
      <c r="A231" s="9" t="s">
        <v>271</v>
      </c>
      <c r="B231" s="10" t="s">
        <v>75</v>
      </c>
      <c r="C231" s="11">
        <v>46107.0</v>
      </c>
      <c r="D231" s="11">
        <v>46125.0</v>
      </c>
      <c r="E231" s="10" t="s">
        <v>16</v>
      </c>
      <c r="F231" s="12">
        <v>22880.0</v>
      </c>
      <c r="G231" s="13">
        <v>2493.0</v>
      </c>
      <c r="H231" s="13">
        <v>147.0</v>
      </c>
      <c r="I231" s="14">
        <v>26907.25</v>
      </c>
      <c r="J231" s="13">
        <v>17920.0</v>
      </c>
      <c r="K231" s="13">
        <v>483840.0</v>
      </c>
      <c r="L231" s="10" t="s">
        <v>17</v>
      </c>
      <c r="M231" s="15">
        <f t="shared" si="1"/>
        <v>0.1760161713</v>
      </c>
      <c r="N231" s="16">
        <f t="shared" si="2"/>
        <v>155.6462585</v>
      </c>
    </row>
    <row r="232" ht="15.75" customHeight="1">
      <c r="A232" s="9" t="s">
        <v>272</v>
      </c>
      <c r="B232" s="10" t="s">
        <v>28</v>
      </c>
      <c r="C232" s="11">
        <v>46065.0</v>
      </c>
      <c r="D232" s="11">
        <v>46107.0</v>
      </c>
      <c r="E232" s="10" t="s">
        <v>16</v>
      </c>
      <c r="F232" s="12">
        <v>16556.0</v>
      </c>
      <c r="G232" s="13">
        <v>2140.0</v>
      </c>
      <c r="H232" s="13">
        <v>229.0</v>
      </c>
      <c r="I232" s="14">
        <v>34275.29</v>
      </c>
      <c r="J232" s="13">
        <v>11624.0</v>
      </c>
      <c r="K232" s="13">
        <v>313848.0</v>
      </c>
      <c r="L232" s="10" t="s">
        <v>17</v>
      </c>
      <c r="M232" s="15">
        <f t="shared" si="1"/>
        <v>1.070263953</v>
      </c>
      <c r="N232" s="16">
        <f t="shared" si="2"/>
        <v>72.29694323</v>
      </c>
    </row>
    <row r="233" ht="15.75" customHeight="1">
      <c r="A233" s="9" t="s">
        <v>273</v>
      </c>
      <c r="B233" s="10" t="s">
        <v>62</v>
      </c>
      <c r="C233" s="11">
        <v>45895.0</v>
      </c>
      <c r="D233" s="11">
        <v>45917.0</v>
      </c>
      <c r="E233" s="10" t="s">
        <v>26</v>
      </c>
      <c r="F233" s="12">
        <v>17247.0</v>
      </c>
      <c r="G233" s="13">
        <v>1088.0</v>
      </c>
      <c r="H233" s="13">
        <v>52.0</v>
      </c>
      <c r="I233" s="14">
        <v>24423.69</v>
      </c>
      <c r="J233" s="13">
        <v>34554.0</v>
      </c>
      <c r="K233" s="13">
        <v>1036620.0</v>
      </c>
      <c r="L233" s="10" t="s">
        <v>17</v>
      </c>
      <c r="M233" s="15">
        <f t="shared" si="1"/>
        <v>0.4161123674</v>
      </c>
      <c r="N233" s="16">
        <f t="shared" si="2"/>
        <v>331.6730769</v>
      </c>
    </row>
    <row r="234" ht="15.75" customHeight="1">
      <c r="A234" s="9" t="s">
        <v>274</v>
      </c>
      <c r="B234" s="10" t="s">
        <v>15</v>
      </c>
      <c r="C234" s="11">
        <v>45969.0</v>
      </c>
      <c r="D234" s="11">
        <v>45982.0</v>
      </c>
      <c r="E234" s="10" t="s">
        <v>16</v>
      </c>
      <c r="F234" s="12">
        <v>10939.0</v>
      </c>
      <c r="G234" s="13">
        <v>787.0</v>
      </c>
      <c r="H234" s="13">
        <v>68.0</v>
      </c>
      <c r="I234" s="14">
        <v>1825.53</v>
      </c>
      <c r="J234" s="13">
        <v>8485.0</v>
      </c>
      <c r="K234" s="13">
        <v>93335.0</v>
      </c>
      <c r="L234" s="10" t="s">
        <v>17</v>
      </c>
      <c r="M234" s="15">
        <f t="shared" si="1"/>
        <v>-0.8331172868</v>
      </c>
      <c r="N234" s="16">
        <f t="shared" si="2"/>
        <v>160.8676471</v>
      </c>
    </row>
    <row r="235" ht="15.75" customHeight="1">
      <c r="A235" s="9" t="s">
        <v>275</v>
      </c>
      <c r="B235" s="10" t="s">
        <v>19</v>
      </c>
      <c r="C235" s="11">
        <v>46089.0</v>
      </c>
      <c r="D235" s="11">
        <v>46117.0</v>
      </c>
      <c r="E235" s="10" t="s">
        <v>26</v>
      </c>
      <c r="F235" s="12">
        <v>7644.0</v>
      </c>
      <c r="G235" s="13">
        <v>789.0</v>
      </c>
      <c r="H235" s="13">
        <v>16.0</v>
      </c>
      <c r="I235" s="14">
        <v>1819.95</v>
      </c>
      <c r="J235" s="13">
        <v>10757.0</v>
      </c>
      <c r="K235" s="13">
        <v>215140.0</v>
      </c>
      <c r="L235" s="10" t="s">
        <v>17</v>
      </c>
      <c r="M235" s="15">
        <f t="shared" si="1"/>
        <v>-0.761911303</v>
      </c>
      <c r="N235" s="16">
        <f t="shared" si="2"/>
        <v>477.75</v>
      </c>
    </row>
    <row r="236" ht="15.75" customHeight="1">
      <c r="A236" s="9" t="s">
        <v>276</v>
      </c>
      <c r="B236" s="10" t="s">
        <v>62</v>
      </c>
      <c r="C236" s="11">
        <v>45998.0</v>
      </c>
      <c r="D236" s="11">
        <v>46039.0</v>
      </c>
      <c r="E236" s="10" t="s">
        <v>16</v>
      </c>
      <c r="F236" s="12">
        <v>28580.0</v>
      </c>
      <c r="G236" s="13">
        <v>1979.0</v>
      </c>
      <c r="H236" s="13">
        <v>214.0</v>
      </c>
      <c r="I236" s="14">
        <v>33318.01</v>
      </c>
      <c r="J236" s="13">
        <v>45237.0</v>
      </c>
      <c r="K236" s="13">
        <v>542844.0</v>
      </c>
      <c r="L236" s="10" t="s">
        <v>17</v>
      </c>
      <c r="M236" s="15">
        <f t="shared" si="1"/>
        <v>0.1657806158</v>
      </c>
      <c r="N236" s="16">
        <f t="shared" si="2"/>
        <v>133.5514019</v>
      </c>
    </row>
    <row r="237" ht="15.75" customHeight="1">
      <c r="A237" s="9" t="s">
        <v>277</v>
      </c>
      <c r="B237" s="10" t="s">
        <v>56</v>
      </c>
      <c r="C237" s="11">
        <v>46165.0</v>
      </c>
      <c r="D237" s="11">
        <v>46215.0</v>
      </c>
      <c r="E237" s="10" t="s">
        <v>26</v>
      </c>
      <c r="F237" s="12">
        <v>11471.0</v>
      </c>
      <c r="G237" s="13">
        <v>1879.0</v>
      </c>
      <c r="H237" s="13">
        <v>54.0</v>
      </c>
      <c r="I237" s="14">
        <v>3184.89</v>
      </c>
      <c r="J237" s="13">
        <v>27790.0</v>
      </c>
      <c r="K237" s="13">
        <v>416850.0</v>
      </c>
      <c r="L237" s="10" t="s">
        <v>17</v>
      </c>
      <c r="M237" s="15">
        <f t="shared" si="1"/>
        <v>-0.7223528899</v>
      </c>
      <c r="N237" s="16">
        <f t="shared" si="2"/>
        <v>212.4259259</v>
      </c>
    </row>
    <row r="238" ht="15.75" customHeight="1">
      <c r="A238" s="9" t="s">
        <v>278</v>
      </c>
      <c r="B238" s="10" t="s">
        <v>56</v>
      </c>
      <c r="C238" s="11">
        <v>46148.0</v>
      </c>
      <c r="D238" s="11">
        <v>46181.0</v>
      </c>
      <c r="E238" s="10" t="s">
        <v>26</v>
      </c>
      <c r="F238" s="12">
        <v>23785.0</v>
      </c>
      <c r="G238" s="13">
        <v>2004.0</v>
      </c>
      <c r="H238" s="13">
        <v>85.0</v>
      </c>
      <c r="I238" s="14">
        <v>8480.52</v>
      </c>
      <c r="J238" s="13">
        <v>29317.0</v>
      </c>
      <c r="K238" s="13">
        <v>410438.0</v>
      </c>
      <c r="L238" s="10" t="s">
        <v>17</v>
      </c>
      <c r="M238" s="15">
        <f t="shared" si="1"/>
        <v>-0.6434509144</v>
      </c>
      <c r="N238" s="16">
        <f t="shared" si="2"/>
        <v>279.8235294</v>
      </c>
    </row>
    <row r="239" ht="15.75" customHeight="1">
      <c r="A239" s="9" t="s">
        <v>279</v>
      </c>
      <c r="B239" s="10" t="s">
        <v>15</v>
      </c>
      <c r="C239" s="11">
        <v>46107.0</v>
      </c>
      <c r="D239" s="11">
        <v>46151.0</v>
      </c>
      <c r="E239" s="10" t="s">
        <v>16</v>
      </c>
      <c r="F239" s="12">
        <v>53144.0</v>
      </c>
      <c r="G239" s="13">
        <v>4734.0</v>
      </c>
      <c r="H239" s="13">
        <v>720.0</v>
      </c>
      <c r="I239" s="14">
        <v>119246.4</v>
      </c>
      <c r="J239" s="13">
        <v>52068.0</v>
      </c>
      <c r="K239" s="13">
        <v>1301700.0</v>
      </c>
      <c r="L239" s="10" t="s">
        <v>17</v>
      </c>
      <c r="M239" s="15">
        <f t="shared" si="1"/>
        <v>1.243835616</v>
      </c>
      <c r="N239" s="16">
        <f t="shared" si="2"/>
        <v>73.81111111</v>
      </c>
    </row>
    <row r="240" ht="15.75" customHeight="1">
      <c r="A240" s="9" t="s">
        <v>280</v>
      </c>
      <c r="B240" s="10" t="s">
        <v>58</v>
      </c>
      <c r="C240" s="11">
        <v>46042.0</v>
      </c>
      <c r="D240" s="11">
        <v>46101.0</v>
      </c>
      <c r="E240" s="10" t="s">
        <v>26</v>
      </c>
      <c r="F240" s="12">
        <v>12479.0</v>
      </c>
      <c r="G240" s="13">
        <v>1872.0</v>
      </c>
      <c r="H240" s="13">
        <v>124.0</v>
      </c>
      <c r="I240" s="14">
        <v>13642.73</v>
      </c>
      <c r="J240" s="13">
        <v>26463.0</v>
      </c>
      <c r="K240" s="13">
        <v>264630.0</v>
      </c>
      <c r="L240" s="10" t="s">
        <v>17</v>
      </c>
      <c r="M240" s="15">
        <f t="shared" si="1"/>
        <v>0.09325506852</v>
      </c>
      <c r="N240" s="16">
        <f t="shared" si="2"/>
        <v>100.6370968</v>
      </c>
    </row>
    <row r="241" ht="15.75" customHeight="1">
      <c r="A241" s="9" t="s">
        <v>281</v>
      </c>
      <c r="B241" s="10" t="s">
        <v>56</v>
      </c>
      <c r="C241" s="11">
        <v>46040.0</v>
      </c>
      <c r="D241" s="11">
        <v>46069.0</v>
      </c>
      <c r="E241" s="10" t="s">
        <v>16</v>
      </c>
      <c r="F241" s="12">
        <v>28198.0</v>
      </c>
      <c r="G241" s="13">
        <v>2097.0</v>
      </c>
      <c r="H241" s="13">
        <v>227.0</v>
      </c>
      <c r="I241" s="14">
        <v>35451.84</v>
      </c>
      <c r="J241" s="13">
        <v>41536.0</v>
      </c>
      <c r="K241" s="13">
        <v>539968.0</v>
      </c>
      <c r="L241" s="10" t="s">
        <v>17</v>
      </c>
      <c r="M241" s="15">
        <f t="shared" si="1"/>
        <v>0.2572466132</v>
      </c>
      <c r="N241" s="16">
        <f t="shared" si="2"/>
        <v>124.2202643</v>
      </c>
    </row>
    <row r="242" ht="15.75" customHeight="1">
      <c r="A242" s="9" t="s">
        <v>282</v>
      </c>
      <c r="B242" s="10" t="s">
        <v>58</v>
      </c>
      <c r="C242" s="11">
        <v>45882.0</v>
      </c>
      <c r="D242" s="11">
        <v>45918.0</v>
      </c>
      <c r="E242" s="10" t="s">
        <v>16</v>
      </c>
      <c r="F242" s="12">
        <v>53352.0</v>
      </c>
      <c r="G242" s="13">
        <v>4377.0</v>
      </c>
      <c r="H242" s="13">
        <v>437.0</v>
      </c>
      <c r="I242" s="14">
        <v>89346.12</v>
      </c>
      <c r="J242" s="13">
        <v>41323.0</v>
      </c>
      <c r="K242" s="13">
        <v>1198367.0</v>
      </c>
      <c r="L242" s="10" t="s">
        <v>17</v>
      </c>
      <c r="M242" s="15">
        <f t="shared" si="1"/>
        <v>0.6746536212</v>
      </c>
      <c r="N242" s="16">
        <f t="shared" si="2"/>
        <v>122.0869565</v>
      </c>
    </row>
    <row r="243" ht="15.75" customHeight="1">
      <c r="A243" s="9" t="s">
        <v>283</v>
      </c>
      <c r="B243" s="10" t="s">
        <v>56</v>
      </c>
      <c r="C243" s="11">
        <v>45996.0</v>
      </c>
      <c r="D243" s="11">
        <v>46018.0</v>
      </c>
      <c r="E243" s="10" t="s">
        <v>26</v>
      </c>
      <c r="F243" s="12">
        <v>17122.0</v>
      </c>
      <c r="G243" s="13">
        <v>931.0</v>
      </c>
      <c r="H243" s="13">
        <v>34.0</v>
      </c>
      <c r="I243" s="14">
        <v>18671.1</v>
      </c>
      <c r="J243" s="13">
        <v>41922.0</v>
      </c>
      <c r="K243" s="13">
        <v>1131894.0</v>
      </c>
      <c r="L243" s="10" t="s">
        <v>17</v>
      </c>
      <c r="M243" s="15">
        <f t="shared" si="1"/>
        <v>0.09047424366</v>
      </c>
      <c r="N243" s="16">
        <f t="shared" si="2"/>
        <v>503.5882353</v>
      </c>
    </row>
    <row r="244" ht="15.75" customHeight="1">
      <c r="A244" s="9" t="s">
        <v>284</v>
      </c>
      <c r="B244" s="10" t="s">
        <v>47</v>
      </c>
      <c r="C244" s="11">
        <v>46065.0</v>
      </c>
      <c r="D244" s="11">
        <v>46073.0</v>
      </c>
      <c r="E244" s="10" t="s">
        <v>16</v>
      </c>
      <c r="F244" s="12">
        <v>46401.0</v>
      </c>
      <c r="G244" s="13">
        <v>3637.0</v>
      </c>
      <c r="H244" s="13">
        <v>465.0</v>
      </c>
      <c r="I244" s="14">
        <v>73082.6</v>
      </c>
      <c r="J244" s="13">
        <v>62307.0</v>
      </c>
      <c r="K244" s="13">
        <v>560763.0</v>
      </c>
      <c r="L244" s="10" t="s">
        <v>17</v>
      </c>
      <c r="M244" s="15">
        <f t="shared" si="1"/>
        <v>0.57502209</v>
      </c>
      <c r="N244" s="16">
        <f t="shared" si="2"/>
        <v>99.78709677</v>
      </c>
    </row>
    <row r="245" ht="15.75" customHeight="1">
      <c r="A245" s="9" t="s">
        <v>285</v>
      </c>
      <c r="B245" s="10" t="s">
        <v>75</v>
      </c>
      <c r="C245" s="11">
        <v>45883.0</v>
      </c>
      <c r="D245" s="11">
        <v>45889.0</v>
      </c>
      <c r="E245" s="10" t="s">
        <v>26</v>
      </c>
      <c r="F245" s="12">
        <v>6068.0</v>
      </c>
      <c r="G245" s="13">
        <v>411.0</v>
      </c>
      <c r="H245" s="13">
        <v>18.0</v>
      </c>
      <c r="I245" s="14">
        <v>2907.0</v>
      </c>
      <c r="J245" s="13">
        <v>14910.0</v>
      </c>
      <c r="K245" s="13">
        <v>387660.0</v>
      </c>
      <c r="L245" s="10" t="s">
        <v>17</v>
      </c>
      <c r="M245" s="15">
        <f t="shared" si="1"/>
        <v>-0.5209294661</v>
      </c>
      <c r="N245" s="16">
        <f t="shared" si="2"/>
        <v>337.1111111</v>
      </c>
    </row>
    <row r="246" ht="15.75" customHeight="1">
      <c r="A246" s="9" t="s">
        <v>286</v>
      </c>
      <c r="B246" s="10" t="s">
        <v>62</v>
      </c>
      <c r="C246" s="11">
        <v>46033.0</v>
      </c>
      <c r="D246" s="11">
        <v>46088.0</v>
      </c>
      <c r="E246" s="10" t="s">
        <v>26</v>
      </c>
      <c r="F246" s="12">
        <v>4717.0</v>
      </c>
      <c r="G246" s="13">
        <v>936.0</v>
      </c>
      <c r="H246" s="13">
        <v>61.0</v>
      </c>
      <c r="I246" s="14">
        <v>27009.35</v>
      </c>
      <c r="J246" s="13">
        <v>5852.0</v>
      </c>
      <c r="K246" s="13">
        <v>81928.0</v>
      </c>
      <c r="L246" s="10" t="s">
        <v>17</v>
      </c>
      <c r="M246" s="15">
        <f t="shared" si="1"/>
        <v>4.725959296</v>
      </c>
      <c r="N246" s="16">
        <f t="shared" si="2"/>
        <v>77.32786885</v>
      </c>
    </row>
    <row r="247" ht="15.75" customHeight="1">
      <c r="A247" s="9" t="s">
        <v>287</v>
      </c>
      <c r="B247" s="10" t="s">
        <v>56</v>
      </c>
      <c r="C247" s="11">
        <v>45883.0</v>
      </c>
      <c r="D247" s="11">
        <v>45916.0</v>
      </c>
      <c r="E247" s="10" t="s">
        <v>16</v>
      </c>
      <c r="F247" s="12">
        <v>54452.0</v>
      </c>
      <c r="G247" s="13">
        <v>2752.0</v>
      </c>
      <c r="H247" s="13">
        <v>383.0</v>
      </c>
      <c r="I247" s="14">
        <v>38308.39</v>
      </c>
      <c r="J247" s="13">
        <v>37974.0</v>
      </c>
      <c r="K247" s="13">
        <v>455688.0</v>
      </c>
      <c r="L247" s="10" t="s">
        <v>17</v>
      </c>
      <c r="M247" s="15">
        <f t="shared" si="1"/>
        <v>-0.2964741424</v>
      </c>
      <c r="N247" s="16">
        <f t="shared" si="2"/>
        <v>142.1723238</v>
      </c>
    </row>
    <row r="248" ht="15.75" customHeight="1">
      <c r="A248" s="9" t="s">
        <v>288</v>
      </c>
      <c r="B248" s="10" t="s">
        <v>62</v>
      </c>
      <c r="C248" s="11">
        <v>45931.0</v>
      </c>
      <c r="D248" s="11">
        <v>45990.0</v>
      </c>
      <c r="E248" s="10" t="s">
        <v>16</v>
      </c>
      <c r="F248" s="12">
        <v>46938.0</v>
      </c>
      <c r="G248" s="13">
        <v>6613.0</v>
      </c>
      <c r="H248" s="13">
        <v>530.0</v>
      </c>
      <c r="I248" s="14">
        <v>35536.44</v>
      </c>
      <c r="J248" s="13">
        <v>59378.0</v>
      </c>
      <c r="K248" s="13">
        <v>1246938.0</v>
      </c>
      <c r="L248" s="10" t="s">
        <v>17</v>
      </c>
      <c r="M248" s="15">
        <f t="shared" si="1"/>
        <v>-0.2429068132</v>
      </c>
      <c r="N248" s="16">
        <f t="shared" si="2"/>
        <v>88.56226415</v>
      </c>
    </row>
    <row r="249" ht="15.75" customHeight="1">
      <c r="A249" s="9" t="s">
        <v>289</v>
      </c>
      <c r="B249" s="10" t="s">
        <v>62</v>
      </c>
      <c r="C249" s="11">
        <v>46166.0</v>
      </c>
      <c r="D249" s="11">
        <v>46181.0</v>
      </c>
      <c r="E249" s="10" t="s">
        <v>26</v>
      </c>
      <c r="F249" s="12">
        <v>11728.0</v>
      </c>
      <c r="G249" s="13">
        <v>1332.0</v>
      </c>
      <c r="H249" s="13">
        <v>46.0</v>
      </c>
      <c r="I249" s="14">
        <v>27056.92</v>
      </c>
      <c r="J249" s="13">
        <v>34423.0</v>
      </c>
      <c r="K249" s="13">
        <v>275384.0</v>
      </c>
      <c r="L249" s="10" t="s">
        <v>17</v>
      </c>
      <c r="M249" s="15">
        <f t="shared" si="1"/>
        <v>1.307036153</v>
      </c>
      <c r="N249" s="16">
        <f t="shared" si="2"/>
        <v>254.9565217</v>
      </c>
    </row>
    <row r="250" ht="15.75" customHeight="1">
      <c r="A250" s="9" t="s">
        <v>290</v>
      </c>
      <c r="B250" s="10" t="s">
        <v>19</v>
      </c>
      <c r="C250" s="11">
        <v>46081.0</v>
      </c>
      <c r="D250" s="11">
        <v>46135.0</v>
      </c>
      <c r="E250" s="10" t="s">
        <v>16</v>
      </c>
      <c r="F250" s="12">
        <v>39330.0</v>
      </c>
      <c r="G250" s="13">
        <v>664.0</v>
      </c>
      <c r="H250" s="13">
        <v>88.0</v>
      </c>
      <c r="I250" s="14">
        <v>17945.89</v>
      </c>
      <c r="J250" s="13">
        <v>9505.0</v>
      </c>
      <c r="K250" s="13">
        <v>228120.0</v>
      </c>
      <c r="L250" s="10" t="s">
        <v>17</v>
      </c>
      <c r="M250" s="15">
        <f t="shared" si="1"/>
        <v>-0.5437098907</v>
      </c>
      <c r="N250" s="16">
        <f t="shared" si="2"/>
        <v>446.9318182</v>
      </c>
    </row>
    <row r="251" ht="15.75" customHeight="1">
      <c r="A251" s="9" t="s">
        <v>291</v>
      </c>
      <c r="B251" s="10" t="s">
        <v>30</v>
      </c>
      <c r="C251" s="11">
        <v>46134.0</v>
      </c>
      <c r="D251" s="11">
        <v>46180.0</v>
      </c>
      <c r="E251" s="10" t="s">
        <v>26</v>
      </c>
      <c r="F251" s="12">
        <v>13369.0</v>
      </c>
      <c r="G251" s="13">
        <v>1384.0</v>
      </c>
      <c r="H251" s="13">
        <v>94.0</v>
      </c>
      <c r="I251" s="14">
        <v>13149.89</v>
      </c>
      <c r="J251" s="13">
        <v>16052.0</v>
      </c>
      <c r="K251" s="13">
        <v>321040.0</v>
      </c>
      <c r="L251" s="10" t="s">
        <v>17</v>
      </c>
      <c r="M251" s="15">
        <f t="shared" si="1"/>
        <v>-0.01638940833</v>
      </c>
      <c r="N251" s="16">
        <f t="shared" si="2"/>
        <v>142.2234043</v>
      </c>
    </row>
    <row r="252" ht="15.75" customHeight="1">
      <c r="A252" s="9" t="s">
        <v>292</v>
      </c>
      <c r="B252" s="10" t="s">
        <v>28</v>
      </c>
      <c r="C252" s="11">
        <v>46000.0</v>
      </c>
      <c r="D252" s="11">
        <v>46048.0</v>
      </c>
      <c r="E252" s="10" t="s">
        <v>35</v>
      </c>
      <c r="F252" s="12">
        <v>1059.0</v>
      </c>
      <c r="G252" s="13">
        <v>58.0</v>
      </c>
      <c r="H252" s="13">
        <v>8.0</v>
      </c>
      <c r="I252" s="14">
        <v>977.07</v>
      </c>
      <c r="J252" s="13">
        <v>5870.0</v>
      </c>
      <c r="K252" s="13">
        <v>52830.0</v>
      </c>
      <c r="L252" s="10" t="s">
        <v>17</v>
      </c>
      <c r="M252" s="15">
        <f t="shared" si="1"/>
        <v>-0.07736543909</v>
      </c>
      <c r="N252" s="16">
        <f t="shared" si="2"/>
        <v>132.375</v>
      </c>
    </row>
    <row r="253" ht="15.75" customHeight="1">
      <c r="A253" s="9" t="s">
        <v>293</v>
      </c>
      <c r="B253" s="10" t="s">
        <v>19</v>
      </c>
      <c r="C253" s="11">
        <v>46095.0</v>
      </c>
      <c r="D253" s="11">
        <v>46107.0</v>
      </c>
      <c r="E253" s="10" t="s">
        <v>35</v>
      </c>
      <c r="F253" s="12">
        <v>2358.0</v>
      </c>
      <c r="G253" s="13">
        <v>131.0</v>
      </c>
      <c r="H253" s="13">
        <v>22.0</v>
      </c>
      <c r="I253" s="14">
        <v>2112.8</v>
      </c>
      <c r="J253" s="13">
        <v>7386.0</v>
      </c>
      <c r="K253" s="13">
        <v>88632.0</v>
      </c>
      <c r="L253" s="10" t="s">
        <v>17</v>
      </c>
      <c r="M253" s="15">
        <f t="shared" si="1"/>
        <v>-0.1039864292</v>
      </c>
      <c r="N253" s="16">
        <f t="shared" si="2"/>
        <v>107.1818182</v>
      </c>
    </row>
    <row r="254" ht="15.75" customHeight="1">
      <c r="A254" s="9" t="s">
        <v>294</v>
      </c>
      <c r="B254" s="10" t="s">
        <v>56</v>
      </c>
      <c r="C254" s="11">
        <v>45998.0</v>
      </c>
      <c r="D254" s="11">
        <v>46003.0</v>
      </c>
      <c r="E254" s="10" t="s">
        <v>26</v>
      </c>
      <c r="F254" s="12">
        <v>21973.0</v>
      </c>
      <c r="G254" s="13">
        <v>1205.0</v>
      </c>
      <c r="H254" s="13">
        <v>87.0</v>
      </c>
      <c r="I254" s="14">
        <v>21438.19</v>
      </c>
      <c r="J254" s="13">
        <v>43948.0</v>
      </c>
      <c r="K254" s="13">
        <v>615272.0</v>
      </c>
      <c r="L254" s="10" t="s">
        <v>17</v>
      </c>
      <c r="M254" s="15">
        <f t="shared" si="1"/>
        <v>-0.02433941656</v>
      </c>
      <c r="N254" s="16">
        <f t="shared" si="2"/>
        <v>252.5632184</v>
      </c>
    </row>
    <row r="255" ht="15.75" customHeight="1">
      <c r="A255" s="9" t="s">
        <v>295</v>
      </c>
      <c r="B255" s="10" t="s">
        <v>75</v>
      </c>
      <c r="C255" s="11">
        <v>45978.0</v>
      </c>
      <c r="D255" s="11">
        <v>45990.0</v>
      </c>
      <c r="E255" s="10" t="s">
        <v>35</v>
      </c>
      <c r="F255" s="12">
        <v>2090.0</v>
      </c>
      <c r="G255" s="13">
        <v>149.0</v>
      </c>
      <c r="H255" s="13">
        <v>23.0</v>
      </c>
      <c r="I255" s="14">
        <v>2872.32</v>
      </c>
      <c r="J255" s="13">
        <v>13454.0</v>
      </c>
      <c r="K255" s="13">
        <v>228718.0</v>
      </c>
      <c r="L255" s="10" t="s">
        <v>17</v>
      </c>
      <c r="M255" s="15">
        <f t="shared" si="1"/>
        <v>0.3743157895</v>
      </c>
      <c r="N255" s="16">
        <f t="shared" si="2"/>
        <v>90.86956522</v>
      </c>
    </row>
    <row r="256" ht="15.75" customHeight="1">
      <c r="A256" s="9" t="s">
        <v>296</v>
      </c>
      <c r="B256" s="10" t="s">
        <v>15</v>
      </c>
      <c r="C256" s="11">
        <v>45864.0</v>
      </c>
      <c r="D256" s="11">
        <v>45875.0</v>
      </c>
      <c r="E256" s="10" t="s">
        <v>16</v>
      </c>
      <c r="F256" s="12">
        <v>8900.0</v>
      </c>
      <c r="G256" s="13">
        <v>1562.0</v>
      </c>
      <c r="H256" s="13">
        <v>173.0</v>
      </c>
      <c r="I256" s="14">
        <v>9581.14</v>
      </c>
      <c r="J256" s="13">
        <v>7571.0</v>
      </c>
      <c r="K256" s="13">
        <v>227130.0</v>
      </c>
      <c r="L256" s="10" t="s">
        <v>17</v>
      </c>
      <c r="M256" s="15">
        <f t="shared" si="1"/>
        <v>0.07653258427</v>
      </c>
      <c r="N256" s="16">
        <f t="shared" si="2"/>
        <v>51.44508671</v>
      </c>
    </row>
    <row r="257" ht="15.75" customHeight="1">
      <c r="A257" s="9" t="s">
        <v>297</v>
      </c>
      <c r="B257" s="10" t="s">
        <v>25</v>
      </c>
      <c r="C257" s="11">
        <v>46182.0</v>
      </c>
      <c r="D257" s="11">
        <v>46236.0</v>
      </c>
      <c r="E257" s="10" t="s">
        <v>35</v>
      </c>
      <c r="F257" s="12">
        <v>1443.0</v>
      </c>
      <c r="G257" s="13">
        <v>126.0</v>
      </c>
      <c r="H257" s="13">
        <v>37.0</v>
      </c>
      <c r="I257" s="14">
        <v>2824.88</v>
      </c>
      <c r="J257" s="13">
        <v>3481.0</v>
      </c>
      <c r="K257" s="13">
        <v>104430.0</v>
      </c>
      <c r="L257" s="10" t="s">
        <v>17</v>
      </c>
      <c r="M257" s="15">
        <f t="shared" si="1"/>
        <v>0.9576437976</v>
      </c>
      <c r="N257" s="16">
        <f t="shared" si="2"/>
        <v>39</v>
      </c>
    </row>
    <row r="258" ht="15.75" customHeight="1">
      <c r="A258" s="9" t="s">
        <v>298</v>
      </c>
      <c r="B258" s="10" t="s">
        <v>25</v>
      </c>
      <c r="C258" s="11">
        <v>45983.0</v>
      </c>
      <c r="D258" s="11">
        <v>46035.0</v>
      </c>
      <c r="E258" s="10" t="s">
        <v>35</v>
      </c>
      <c r="F258" s="12">
        <v>3655.0</v>
      </c>
      <c r="G258" s="13">
        <v>647.0</v>
      </c>
      <c r="H258" s="13">
        <v>142.0</v>
      </c>
      <c r="I258" s="14">
        <v>29096.75</v>
      </c>
      <c r="J258" s="13">
        <v>18783.0</v>
      </c>
      <c r="K258" s="13">
        <v>375660.0</v>
      </c>
      <c r="L258" s="10" t="s">
        <v>17</v>
      </c>
      <c r="M258" s="15">
        <f t="shared" si="1"/>
        <v>6.960807114</v>
      </c>
      <c r="N258" s="16">
        <f t="shared" si="2"/>
        <v>25.73943662</v>
      </c>
    </row>
    <row r="259" ht="15.75" customHeight="1">
      <c r="A259" s="9" t="s">
        <v>299</v>
      </c>
      <c r="B259" s="10" t="s">
        <v>15</v>
      </c>
      <c r="C259" s="11">
        <v>46033.0</v>
      </c>
      <c r="D259" s="11">
        <v>46056.0</v>
      </c>
      <c r="E259" s="10" t="s">
        <v>35</v>
      </c>
      <c r="F259" s="12">
        <v>24849.0</v>
      </c>
      <c r="G259" s="13">
        <v>648.0</v>
      </c>
      <c r="H259" s="13">
        <v>148.0</v>
      </c>
      <c r="I259" s="14">
        <v>10798.54</v>
      </c>
      <c r="J259" s="13">
        <v>28270.0</v>
      </c>
      <c r="K259" s="13">
        <v>621940.0</v>
      </c>
      <c r="L259" s="10" t="s">
        <v>17</v>
      </c>
      <c r="M259" s="15">
        <f t="shared" si="1"/>
        <v>-0.5654336191</v>
      </c>
      <c r="N259" s="16">
        <f t="shared" si="2"/>
        <v>167.8986486</v>
      </c>
    </row>
    <row r="260" ht="15.75" customHeight="1">
      <c r="A260" s="9" t="s">
        <v>300</v>
      </c>
      <c r="B260" s="10" t="s">
        <v>75</v>
      </c>
      <c r="C260" s="11">
        <v>46001.0</v>
      </c>
      <c r="D260" s="11">
        <v>46023.0</v>
      </c>
      <c r="E260" s="10" t="s">
        <v>26</v>
      </c>
      <c r="F260" s="12">
        <v>21186.0</v>
      </c>
      <c r="G260" s="13">
        <v>1133.0</v>
      </c>
      <c r="H260" s="13">
        <v>76.0</v>
      </c>
      <c r="I260" s="14">
        <v>16915.12</v>
      </c>
      <c r="J260" s="13">
        <v>29934.0</v>
      </c>
      <c r="K260" s="13">
        <v>718416.0</v>
      </c>
      <c r="L260" s="10" t="s">
        <v>17</v>
      </c>
      <c r="M260" s="15">
        <f t="shared" si="1"/>
        <v>-0.2015897291</v>
      </c>
      <c r="N260" s="16">
        <f t="shared" si="2"/>
        <v>278.7631579</v>
      </c>
    </row>
    <row r="261" ht="15.75" customHeight="1">
      <c r="A261" s="9" t="s">
        <v>301</v>
      </c>
      <c r="B261" s="10" t="s">
        <v>28</v>
      </c>
      <c r="C261" s="11">
        <v>45908.0</v>
      </c>
      <c r="D261" s="11">
        <v>45916.0</v>
      </c>
      <c r="E261" s="10" t="s">
        <v>16</v>
      </c>
      <c r="F261" s="12">
        <v>15992.0</v>
      </c>
      <c r="G261" s="13">
        <v>1415.0</v>
      </c>
      <c r="H261" s="13">
        <v>188.0</v>
      </c>
      <c r="I261" s="14">
        <v>35610.93</v>
      </c>
      <c r="J261" s="13">
        <v>17461.0</v>
      </c>
      <c r="K261" s="13">
        <v>384142.0</v>
      </c>
      <c r="L261" s="10" t="s">
        <v>17</v>
      </c>
      <c r="M261" s="15">
        <f t="shared" si="1"/>
        <v>1.226796523</v>
      </c>
      <c r="N261" s="16">
        <f t="shared" si="2"/>
        <v>85.06382979</v>
      </c>
    </row>
    <row r="262" ht="15.75" customHeight="1">
      <c r="A262" s="9" t="s">
        <v>302</v>
      </c>
      <c r="B262" s="10" t="s">
        <v>30</v>
      </c>
      <c r="C262" s="11">
        <v>45960.0</v>
      </c>
      <c r="D262" s="11">
        <v>46008.0</v>
      </c>
      <c r="E262" s="10" t="s">
        <v>16</v>
      </c>
      <c r="F262" s="12">
        <v>39881.0</v>
      </c>
      <c r="G262" s="13">
        <v>3016.0</v>
      </c>
      <c r="H262" s="13">
        <v>256.0</v>
      </c>
      <c r="I262" s="14">
        <v>11787.0</v>
      </c>
      <c r="J262" s="13">
        <v>27955.0</v>
      </c>
      <c r="K262" s="13">
        <v>279550.0</v>
      </c>
      <c r="L262" s="10" t="s">
        <v>17</v>
      </c>
      <c r="M262" s="15">
        <f t="shared" si="1"/>
        <v>-0.704445726</v>
      </c>
      <c r="N262" s="16">
        <f t="shared" si="2"/>
        <v>155.7851563</v>
      </c>
    </row>
    <row r="263" ht="15.75" customHeight="1">
      <c r="A263" s="9" t="s">
        <v>303</v>
      </c>
      <c r="B263" s="10" t="s">
        <v>47</v>
      </c>
      <c r="C263" s="11">
        <v>46132.0</v>
      </c>
      <c r="D263" s="11">
        <v>46138.0</v>
      </c>
      <c r="E263" s="10" t="s">
        <v>16</v>
      </c>
      <c r="F263" s="12">
        <v>50012.0</v>
      </c>
      <c r="G263" s="13">
        <v>3575.0</v>
      </c>
      <c r="H263" s="13">
        <v>639.0</v>
      </c>
      <c r="I263" s="14">
        <v>54556.18</v>
      </c>
      <c r="J263" s="13">
        <v>38209.0</v>
      </c>
      <c r="K263" s="13">
        <v>611344.0</v>
      </c>
      <c r="L263" s="10" t="s">
        <v>17</v>
      </c>
      <c r="M263" s="15">
        <f t="shared" si="1"/>
        <v>0.09086179317</v>
      </c>
      <c r="N263" s="16">
        <f t="shared" si="2"/>
        <v>78.26604069</v>
      </c>
    </row>
    <row r="264" ht="15.75" customHeight="1">
      <c r="A264" s="9" t="s">
        <v>304</v>
      </c>
      <c r="B264" s="10" t="s">
        <v>19</v>
      </c>
      <c r="C264" s="11">
        <v>46050.0</v>
      </c>
      <c r="D264" s="11">
        <v>46102.0</v>
      </c>
      <c r="E264" s="10" t="s">
        <v>35</v>
      </c>
      <c r="F264" s="12">
        <v>3938.0</v>
      </c>
      <c r="G264" s="13">
        <v>277.0</v>
      </c>
      <c r="H264" s="13">
        <v>40.0</v>
      </c>
      <c r="I264" s="14">
        <v>3575.64</v>
      </c>
      <c r="J264" s="13">
        <v>12951.0</v>
      </c>
      <c r="K264" s="13">
        <v>168363.0</v>
      </c>
      <c r="L264" s="10" t="s">
        <v>17</v>
      </c>
      <c r="M264" s="15">
        <f t="shared" si="1"/>
        <v>-0.0920162519</v>
      </c>
      <c r="N264" s="16">
        <f t="shared" si="2"/>
        <v>98.45</v>
      </c>
    </row>
    <row r="265" ht="15.75" customHeight="1">
      <c r="A265" s="9" t="s">
        <v>305</v>
      </c>
      <c r="B265" s="10" t="s">
        <v>38</v>
      </c>
      <c r="C265" s="11">
        <v>46188.0</v>
      </c>
      <c r="D265" s="11">
        <v>46236.0</v>
      </c>
      <c r="E265" s="10" t="s">
        <v>26</v>
      </c>
      <c r="F265" s="12">
        <v>15281.0</v>
      </c>
      <c r="G265" s="13">
        <v>852.0</v>
      </c>
      <c r="H265" s="13">
        <v>41.0</v>
      </c>
      <c r="I265" s="14">
        <v>2268.27</v>
      </c>
      <c r="J265" s="13">
        <v>39476.0</v>
      </c>
      <c r="K265" s="13">
        <v>355284.0</v>
      </c>
      <c r="L265" s="10" t="s">
        <v>17</v>
      </c>
      <c r="M265" s="15">
        <f t="shared" si="1"/>
        <v>-0.851562725</v>
      </c>
      <c r="N265" s="16">
        <f t="shared" si="2"/>
        <v>372.7073171</v>
      </c>
    </row>
    <row r="266" ht="15.75" customHeight="1">
      <c r="A266" s="9" t="s">
        <v>306</v>
      </c>
      <c r="B266" s="10" t="s">
        <v>75</v>
      </c>
      <c r="C266" s="11">
        <v>46172.0</v>
      </c>
      <c r="D266" s="11">
        <v>46229.0</v>
      </c>
      <c r="E266" s="10" t="s">
        <v>16</v>
      </c>
      <c r="F266" s="12">
        <v>24864.0</v>
      </c>
      <c r="G266" s="13">
        <v>4461.0</v>
      </c>
      <c r="H266" s="13">
        <v>417.0</v>
      </c>
      <c r="I266" s="14">
        <v>64893.55</v>
      </c>
      <c r="J266" s="13">
        <v>32413.0</v>
      </c>
      <c r="K266" s="13">
        <v>453782.0</v>
      </c>
      <c r="L266" s="10" t="s">
        <v>17</v>
      </c>
      <c r="M266" s="15">
        <f t="shared" si="1"/>
        <v>1.609940074</v>
      </c>
      <c r="N266" s="16">
        <f t="shared" si="2"/>
        <v>59.62589928</v>
      </c>
    </row>
    <row r="267" ht="15.75" customHeight="1">
      <c r="A267" s="9" t="s">
        <v>307</v>
      </c>
      <c r="B267" s="10" t="s">
        <v>30</v>
      </c>
      <c r="C267" s="11">
        <v>46201.0</v>
      </c>
      <c r="D267" s="11">
        <v>46211.0</v>
      </c>
      <c r="E267" s="10" t="s">
        <v>16</v>
      </c>
      <c r="F267" s="12">
        <v>12661.0</v>
      </c>
      <c r="G267" s="13">
        <v>873.0</v>
      </c>
      <c r="H267" s="13">
        <v>140.0</v>
      </c>
      <c r="I267" s="14">
        <v>28978.9</v>
      </c>
      <c r="J267" s="13">
        <v>20099.0</v>
      </c>
      <c r="K267" s="13">
        <v>442178.0</v>
      </c>
      <c r="L267" s="10" t="s">
        <v>17</v>
      </c>
      <c r="M267" s="15">
        <f t="shared" si="1"/>
        <v>1.288831846</v>
      </c>
      <c r="N267" s="16">
        <f t="shared" si="2"/>
        <v>90.43571429</v>
      </c>
    </row>
    <row r="268" ht="15.75" customHeight="1">
      <c r="A268" s="9" t="s">
        <v>308</v>
      </c>
      <c r="B268" s="10" t="s">
        <v>25</v>
      </c>
      <c r="C268" s="11">
        <v>46193.0</v>
      </c>
      <c r="D268" s="11">
        <v>46253.0</v>
      </c>
      <c r="E268" s="10" t="s">
        <v>35</v>
      </c>
      <c r="F268" s="12">
        <v>3449.0</v>
      </c>
      <c r="G268" s="13">
        <v>408.0</v>
      </c>
      <c r="H268" s="13">
        <v>61.0</v>
      </c>
      <c r="I268" s="14">
        <v>3428.84</v>
      </c>
      <c r="J268" s="13">
        <v>8148.0</v>
      </c>
      <c r="K268" s="13">
        <v>81480.0</v>
      </c>
      <c r="L268" s="10" t="s">
        <v>17</v>
      </c>
      <c r="M268" s="15">
        <f t="shared" si="1"/>
        <v>-0.005845172514</v>
      </c>
      <c r="N268" s="16">
        <f t="shared" si="2"/>
        <v>56.54098361</v>
      </c>
    </row>
    <row r="269" ht="15.75" customHeight="1">
      <c r="A269" s="9" t="s">
        <v>309</v>
      </c>
      <c r="B269" s="10" t="s">
        <v>28</v>
      </c>
      <c r="C269" s="11">
        <v>45894.0</v>
      </c>
      <c r="D269" s="11">
        <v>45906.0</v>
      </c>
      <c r="E269" s="10" t="s">
        <v>16</v>
      </c>
      <c r="F269" s="12">
        <v>42430.0</v>
      </c>
      <c r="G269" s="13">
        <v>2968.0</v>
      </c>
      <c r="H269" s="13">
        <v>444.0</v>
      </c>
      <c r="I269" s="14">
        <v>96791.1</v>
      </c>
      <c r="J269" s="13">
        <v>59062.0</v>
      </c>
      <c r="K269" s="13">
        <v>1299364.0</v>
      </c>
      <c r="L269" s="10" t="s">
        <v>17</v>
      </c>
      <c r="M269" s="15">
        <f t="shared" si="1"/>
        <v>1.281194909</v>
      </c>
      <c r="N269" s="16">
        <f t="shared" si="2"/>
        <v>95.56306306</v>
      </c>
    </row>
    <row r="270" ht="15.75" customHeight="1">
      <c r="A270" s="9" t="s">
        <v>310</v>
      </c>
      <c r="B270" s="10" t="s">
        <v>56</v>
      </c>
      <c r="C270" s="11">
        <v>45840.0</v>
      </c>
      <c r="D270" s="11">
        <v>45867.0</v>
      </c>
      <c r="E270" s="10" t="s">
        <v>16</v>
      </c>
      <c r="F270" s="12">
        <v>52171.0</v>
      </c>
      <c r="G270" s="13">
        <v>3989.0</v>
      </c>
      <c r="H270" s="13">
        <v>623.0</v>
      </c>
      <c r="I270" s="14">
        <v>125105.6</v>
      </c>
      <c r="J270" s="13">
        <v>53123.0</v>
      </c>
      <c r="K270" s="13">
        <v>531230.0</v>
      </c>
      <c r="L270" s="10" t="s">
        <v>17</v>
      </c>
      <c r="M270" s="15">
        <f t="shared" si="1"/>
        <v>1.397991221</v>
      </c>
      <c r="N270" s="16">
        <f t="shared" si="2"/>
        <v>83.74157303</v>
      </c>
    </row>
    <row r="271" ht="15.75" customHeight="1">
      <c r="A271" s="9" t="s">
        <v>311</v>
      </c>
      <c r="B271" s="10" t="s">
        <v>28</v>
      </c>
      <c r="C271" s="11">
        <v>45987.0</v>
      </c>
      <c r="D271" s="11">
        <v>46031.0</v>
      </c>
      <c r="E271" s="10" t="s">
        <v>35</v>
      </c>
      <c r="F271" s="12">
        <v>2463.0</v>
      </c>
      <c r="G271" s="13">
        <v>242.0</v>
      </c>
      <c r="H271" s="13">
        <v>32.0</v>
      </c>
      <c r="I271" s="14">
        <v>2714.81</v>
      </c>
      <c r="J271" s="13">
        <v>15039.0</v>
      </c>
      <c r="K271" s="13">
        <v>421092.0</v>
      </c>
      <c r="L271" s="10" t="s">
        <v>17</v>
      </c>
      <c r="M271" s="15">
        <f t="shared" si="1"/>
        <v>0.1022371092</v>
      </c>
      <c r="N271" s="16">
        <f t="shared" si="2"/>
        <v>76.96875</v>
      </c>
    </row>
    <row r="272" ht="15.75" customHeight="1">
      <c r="A272" s="9" t="s">
        <v>312</v>
      </c>
      <c r="B272" s="10" t="s">
        <v>58</v>
      </c>
      <c r="C272" s="11">
        <v>45864.0</v>
      </c>
      <c r="D272" s="11">
        <v>45924.0</v>
      </c>
      <c r="E272" s="10" t="s">
        <v>26</v>
      </c>
      <c r="F272" s="12">
        <v>12570.0</v>
      </c>
      <c r="G272" s="13">
        <v>912.0</v>
      </c>
      <c r="H272" s="13">
        <v>63.0</v>
      </c>
      <c r="I272" s="14">
        <v>10587.65</v>
      </c>
      <c r="J272" s="13">
        <v>35074.0</v>
      </c>
      <c r="K272" s="13">
        <v>350740.0</v>
      </c>
      <c r="L272" s="10" t="s">
        <v>17</v>
      </c>
      <c r="M272" s="15">
        <f t="shared" si="1"/>
        <v>-0.1577048528</v>
      </c>
      <c r="N272" s="16">
        <f t="shared" si="2"/>
        <v>199.5238095</v>
      </c>
    </row>
    <row r="273" ht="15.75" customHeight="1">
      <c r="A273" s="9" t="s">
        <v>313</v>
      </c>
      <c r="B273" s="10" t="s">
        <v>52</v>
      </c>
      <c r="C273" s="11">
        <v>46005.0</v>
      </c>
      <c r="D273" s="11">
        <v>46015.0</v>
      </c>
      <c r="E273" s="10" t="s">
        <v>35</v>
      </c>
      <c r="F273" s="12">
        <v>1925.0</v>
      </c>
      <c r="G273" s="13">
        <v>259.0</v>
      </c>
      <c r="H273" s="13">
        <v>42.0</v>
      </c>
      <c r="I273" s="14">
        <v>860.12</v>
      </c>
      <c r="J273" s="13">
        <v>3947.0</v>
      </c>
      <c r="K273" s="13">
        <v>51311.0</v>
      </c>
      <c r="L273" s="10" t="s">
        <v>17</v>
      </c>
      <c r="M273" s="15">
        <f t="shared" si="1"/>
        <v>-0.5531844156</v>
      </c>
      <c r="N273" s="16">
        <f t="shared" si="2"/>
        <v>45.83333333</v>
      </c>
    </row>
    <row r="274" ht="15.75" customHeight="1">
      <c r="A274" s="9" t="s">
        <v>314</v>
      </c>
      <c r="B274" s="10" t="s">
        <v>19</v>
      </c>
      <c r="C274" s="11">
        <v>46162.0</v>
      </c>
      <c r="D274" s="11">
        <v>46204.0</v>
      </c>
      <c r="E274" s="10" t="s">
        <v>35</v>
      </c>
      <c r="F274" s="12">
        <v>23881.0</v>
      </c>
      <c r="G274" s="13">
        <v>329.0</v>
      </c>
      <c r="H274" s="13">
        <v>84.0</v>
      </c>
      <c r="I274" s="14">
        <v>3689.4</v>
      </c>
      <c r="J274" s="13">
        <v>24962.0</v>
      </c>
      <c r="K274" s="13">
        <v>574126.0</v>
      </c>
      <c r="L274" s="10" t="s">
        <v>17</v>
      </c>
      <c r="M274" s="15">
        <f t="shared" si="1"/>
        <v>-0.845508982</v>
      </c>
      <c r="N274" s="16">
        <f t="shared" si="2"/>
        <v>284.297619</v>
      </c>
    </row>
    <row r="275" ht="15.75" customHeight="1">
      <c r="A275" s="9" t="s">
        <v>315</v>
      </c>
      <c r="B275" s="10" t="s">
        <v>75</v>
      </c>
      <c r="C275" s="11">
        <v>45961.0</v>
      </c>
      <c r="D275" s="11">
        <v>45975.0</v>
      </c>
      <c r="E275" s="10" t="s">
        <v>16</v>
      </c>
      <c r="F275" s="12">
        <v>47012.0</v>
      </c>
      <c r="G275" s="13">
        <v>3037.0</v>
      </c>
      <c r="H275" s="13">
        <v>424.0</v>
      </c>
      <c r="I275" s="14">
        <v>57343.63</v>
      </c>
      <c r="J275" s="13">
        <v>42883.0</v>
      </c>
      <c r="K275" s="13">
        <v>600362.0</v>
      </c>
      <c r="L275" s="10" t="s">
        <v>17</v>
      </c>
      <c r="M275" s="15">
        <f t="shared" si="1"/>
        <v>0.2197658045</v>
      </c>
      <c r="N275" s="16">
        <f t="shared" si="2"/>
        <v>110.8773585</v>
      </c>
    </row>
    <row r="276" ht="15.75" customHeight="1">
      <c r="A276" s="9" t="s">
        <v>316</v>
      </c>
      <c r="B276" s="10" t="s">
        <v>56</v>
      </c>
      <c r="C276" s="11">
        <v>45861.0</v>
      </c>
      <c r="D276" s="11">
        <v>45867.0</v>
      </c>
      <c r="E276" s="10" t="s">
        <v>35</v>
      </c>
      <c r="F276" s="12">
        <v>3783.0</v>
      </c>
      <c r="G276" s="13">
        <v>404.0</v>
      </c>
      <c r="H276" s="13">
        <v>63.0</v>
      </c>
      <c r="I276" s="14">
        <v>7531.62</v>
      </c>
      <c r="J276" s="13">
        <v>12520.0</v>
      </c>
      <c r="K276" s="13">
        <v>287960.0</v>
      </c>
      <c r="L276" s="10" t="s">
        <v>17</v>
      </c>
      <c r="M276" s="15">
        <f t="shared" si="1"/>
        <v>0.9909119746</v>
      </c>
      <c r="N276" s="16">
        <f t="shared" si="2"/>
        <v>60.04761905</v>
      </c>
    </row>
    <row r="277" ht="15.75" customHeight="1">
      <c r="A277" s="9" t="s">
        <v>317</v>
      </c>
      <c r="B277" s="10" t="s">
        <v>25</v>
      </c>
      <c r="C277" s="11">
        <v>46005.0</v>
      </c>
      <c r="D277" s="11">
        <v>46034.0</v>
      </c>
      <c r="E277" s="10" t="s">
        <v>16</v>
      </c>
      <c r="F277" s="12">
        <v>20025.0</v>
      </c>
      <c r="G277" s="13">
        <v>2607.0</v>
      </c>
      <c r="H277" s="13">
        <v>383.0</v>
      </c>
      <c r="I277" s="14">
        <v>23428.71</v>
      </c>
      <c r="J277" s="13">
        <v>14320.0</v>
      </c>
      <c r="K277" s="13">
        <v>143200.0</v>
      </c>
      <c r="L277" s="10" t="s">
        <v>17</v>
      </c>
      <c r="M277" s="15">
        <f t="shared" si="1"/>
        <v>0.1699730337</v>
      </c>
      <c r="N277" s="16">
        <f t="shared" si="2"/>
        <v>52.2845953</v>
      </c>
    </row>
    <row r="278" ht="15.75" customHeight="1">
      <c r="A278" s="9" t="s">
        <v>318</v>
      </c>
      <c r="B278" s="10" t="s">
        <v>56</v>
      </c>
      <c r="C278" s="11">
        <v>45951.0</v>
      </c>
      <c r="D278" s="11">
        <v>46010.0</v>
      </c>
      <c r="E278" s="10" t="s">
        <v>35</v>
      </c>
      <c r="F278" s="12">
        <v>3217.0</v>
      </c>
      <c r="G278" s="13">
        <v>226.0</v>
      </c>
      <c r="H278" s="13">
        <v>49.0</v>
      </c>
      <c r="I278" s="14">
        <v>6798.76</v>
      </c>
      <c r="J278" s="13">
        <v>7545.0</v>
      </c>
      <c r="K278" s="13">
        <v>173535.0</v>
      </c>
      <c r="L278" s="10" t="s">
        <v>17</v>
      </c>
      <c r="M278" s="15">
        <f t="shared" si="1"/>
        <v>1.113385141</v>
      </c>
      <c r="N278" s="16">
        <f t="shared" si="2"/>
        <v>65.65306122</v>
      </c>
    </row>
    <row r="279" ht="15.75" customHeight="1">
      <c r="A279" s="9" t="s">
        <v>319</v>
      </c>
      <c r="B279" s="10" t="s">
        <v>30</v>
      </c>
      <c r="C279" s="11">
        <v>46084.0</v>
      </c>
      <c r="D279" s="11">
        <v>46138.0</v>
      </c>
      <c r="E279" s="10" t="s">
        <v>16</v>
      </c>
      <c r="F279" s="12">
        <v>59298.0</v>
      </c>
      <c r="G279" s="13">
        <v>4972.0</v>
      </c>
      <c r="H279" s="13">
        <v>698.0</v>
      </c>
      <c r="I279" s="14">
        <v>46139.96</v>
      </c>
      <c r="J279" s="13">
        <v>99160.0</v>
      </c>
      <c r="K279" s="13">
        <v>1487400.0</v>
      </c>
      <c r="L279" s="10" t="s">
        <v>17</v>
      </c>
      <c r="M279" s="15">
        <f t="shared" si="1"/>
        <v>-0.2218968599</v>
      </c>
      <c r="N279" s="16">
        <f t="shared" si="2"/>
        <v>84.95415473</v>
      </c>
    </row>
    <row r="280" ht="15.75" customHeight="1">
      <c r="A280" s="9" t="s">
        <v>320</v>
      </c>
      <c r="B280" s="10" t="s">
        <v>19</v>
      </c>
      <c r="C280" s="11">
        <v>46074.0</v>
      </c>
      <c r="D280" s="11">
        <v>46131.0</v>
      </c>
      <c r="E280" s="10" t="s">
        <v>26</v>
      </c>
      <c r="F280" s="12">
        <v>21190.0</v>
      </c>
      <c r="G280" s="13">
        <v>1878.0</v>
      </c>
      <c r="H280" s="13">
        <v>1880.0</v>
      </c>
      <c r="I280" s="14">
        <v>24238.56</v>
      </c>
      <c r="J280" s="13">
        <v>67345.0</v>
      </c>
      <c r="K280" s="13">
        <v>1885660.0</v>
      </c>
      <c r="L280" s="10" t="s">
        <v>17</v>
      </c>
      <c r="M280" s="15">
        <f t="shared" si="1"/>
        <v>0.1438678622</v>
      </c>
      <c r="N280" s="16">
        <f t="shared" si="2"/>
        <v>11.2712766</v>
      </c>
    </row>
    <row r="281" ht="15.75" customHeight="1">
      <c r="A281" s="9" t="s">
        <v>321</v>
      </c>
      <c r="B281" s="10" t="s">
        <v>56</v>
      </c>
      <c r="C281" s="11">
        <v>46057.0</v>
      </c>
      <c r="D281" s="11">
        <v>46108.0</v>
      </c>
      <c r="E281" s="10" t="s">
        <v>26</v>
      </c>
      <c r="F281" s="12">
        <v>11340.0</v>
      </c>
      <c r="G281" s="13">
        <v>858.0</v>
      </c>
      <c r="H281" s="13">
        <v>53.0</v>
      </c>
      <c r="I281" s="14">
        <v>4638.8</v>
      </c>
      <c r="J281" s="13">
        <v>16988.0</v>
      </c>
      <c r="K281" s="13">
        <v>492652.0</v>
      </c>
      <c r="L281" s="10" t="s">
        <v>17</v>
      </c>
      <c r="M281" s="15">
        <f t="shared" si="1"/>
        <v>-0.5909347443</v>
      </c>
      <c r="N281" s="16">
        <f t="shared" si="2"/>
        <v>213.9622642</v>
      </c>
    </row>
    <row r="282" ht="15.75" customHeight="1">
      <c r="A282" s="9" t="s">
        <v>322</v>
      </c>
      <c r="B282" s="10" t="s">
        <v>15</v>
      </c>
      <c r="C282" s="11">
        <v>46026.0</v>
      </c>
      <c r="D282" s="11">
        <v>46052.0</v>
      </c>
      <c r="E282" s="10" t="s">
        <v>16</v>
      </c>
      <c r="F282" s="12">
        <v>18486.0</v>
      </c>
      <c r="G282" s="13">
        <v>1425.0</v>
      </c>
      <c r="H282" s="13">
        <v>191.0</v>
      </c>
      <c r="I282" s="14">
        <v>31045.96</v>
      </c>
      <c r="J282" s="13">
        <v>15342.0</v>
      </c>
      <c r="K282" s="13">
        <v>398892.0</v>
      </c>
      <c r="L282" s="10" t="s">
        <v>17</v>
      </c>
      <c r="M282" s="15">
        <f t="shared" si="1"/>
        <v>0.6794309207</v>
      </c>
      <c r="N282" s="16">
        <f t="shared" si="2"/>
        <v>96.78534031</v>
      </c>
    </row>
    <row r="283" ht="15.75" customHeight="1">
      <c r="A283" s="9" t="s">
        <v>323</v>
      </c>
      <c r="B283" s="10" t="s">
        <v>58</v>
      </c>
      <c r="C283" s="11">
        <v>45975.0</v>
      </c>
      <c r="D283" s="11">
        <v>46010.0</v>
      </c>
      <c r="E283" s="10" t="s">
        <v>26</v>
      </c>
      <c r="F283" s="12">
        <v>24789.0</v>
      </c>
      <c r="G283" s="13">
        <v>2487.0</v>
      </c>
      <c r="H283" s="13">
        <v>112.0</v>
      </c>
      <c r="I283" s="14">
        <v>14076.41</v>
      </c>
      <c r="J283" s="13">
        <v>74513.0</v>
      </c>
      <c r="K283" s="13">
        <v>1266721.0</v>
      </c>
      <c r="L283" s="10" t="s">
        <v>17</v>
      </c>
      <c r="M283" s="15">
        <f t="shared" si="1"/>
        <v>-0.4321509541</v>
      </c>
      <c r="N283" s="16">
        <f t="shared" si="2"/>
        <v>221.3303571</v>
      </c>
    </row>
    <row r="284" ht="15.75" customHeight="1">
      <c r="A284" s="9" t="s">
        <v>324</v>
      </c>
      <c r="B284" s="10" t="s">
        <v>62</v>
      </c>
      <c r="C284" s="11">
        <v>45872.0</v>
      </c>
      <c r="D284" s="11">
        <v>45887.0</v>
      </c>
      <c r="E284" s="10" t="s">
        <v>35</v>
      </c>
      <c r="F284" s="12">
        <v>4550.0</v>
      </c>
      <c r="G284" s="13">
        <v>663.0</v>
      </c>
      <c r="H284" s="13">
        <v>77.0</v>
      </c>
      <c r="I284" s="14">
        <v>14436.71</v>
      </c>
      <c r="J284" s="13">
        <v>15868.0</v>
      </c>
      <c r="K284" s="13">
        <v>222152.0</v>
      </c>
      <c r="L284" s="10" t="s">
        <v>17</v>
      </c>
      <c r="M284" s="15">
        <f t="shared" si="1"/>
        <v>2.172903297</v>
      </c>
      <c r="N284" s="16">
        <f t="shared" si="2"/>
        <v>59.09090909</v>
      </c>
    </row>
    <row r="285" ht="15.75" customHeight="1">
      <c r="A285" s="9" t="s">
        <v>325</v>
      </c>
      <c r="B285" s="10" t="s">
        <v>47</v>
      </c>
      <c r="C285" s="11">
        <v>45906.0</v>
      </c>
      <c r="D285" s="11">
        <v>45939.0</v>
      </c>
      <c r="E285" s="10" t="s">
        <v>16</v>
      </c>
      <c r="F285" s="12">
        <v>29721.0</v>
      </c>
      <c r="G285" s="13">
        <v>6842.0</v>
      </c>
      <c r="H285" s="13">
        <v>715.0</v>
      </c>
      <c r="I285" s="14">
        <v>49391.65</v>
      </c>
      <c r="J285" s="13">
        <v>24012.0</v>
      </c>
      <c r="K285" s="13">
        <v>624312.0</v>
      </c>
      <c r="L285" s="10" t="s">
        <v>17</v>
      </c>
      <c r="M285" s="15">
        <f t="shared" si="1"/>
        <v>0.6618434777</v>
      </c>
      <c r="N285" s="16">
        <f t="shared" si="2"/>
        <v>41.56783217</v>
      </c>
    </row>
    <row r="286" ht="15.75" customHeight="1">
      <c r="A286" s="9" t="s">
        <v>326</v>
      </c>
      <c r="B286" s="10" t="s">
        <v>25</v>
      </c>
      <c r="C286" s="11">
        <v>46110.0</v>
      </c>
      <c r="D286" s="11">
        <v>46166.0</v>
      </c>
      <c r="E286" s="10" t="s">
        <v>35</v>
      </c>
      <c r="F286" s="12">
        <v>4447.0</v>
      </c>
      <c r="G286" s="13">
        <v>242.0</v>
      </c>
      <c r="H286" s="13">
        <v>46.0</v>
      </c>
      <c r="I286" s="14">
        <v>4997.62</v>
      </c>
      <c r="J286" s="13">
        <v>12759.0</v>
      </c>
      <c r="K286" s="13">
        <v>153108.0</v>
      </c>
      <c r="L286" s="10" t="s">
        <v>17</v>
      </c>
      <c r="M286" s="15">
        <f t="shared" si="1"/>
        <v>0.1238183045</v>
      </c>
      <c r="N286" s="16">
        <f t="shared" si="2"/>
        <v>96.67391304</v>
      </c>
    </row>
    <row r="287" ht="15.75" customHeight="1">
      <c r="A287" s="9" t="s">
        <v>327</v>
      </c>
      <c r="B287" s="10" t="s">
        <v>25</v>
      </c>
      <c r="C287" s="11">
        <v>45985.0</v>
      </c>
      <c r="D287" s="11">
        <v>45999.0</v>
      </c>
      <c r="E287" s="10" t="s">
        <v>35</v>
      </c>
      <c r="F287" s="12">
        <v>2236.0</v>
      </c>
      <c r="G287" s="13">
        <v>152.0</v>
      </c>
      <c r="H287" s="13">
        <v>40.0</v>
      </c>
      <c r="I287" s="14">
        <v>1165.81</v>
      </c>
      <c r="J287" s="13">
        <v>5696.0</v>
      </c>
      <c r="K287" s="13">
        <v>142400.0</v>
      </c>
      <c r="L287" s="10" t="s">
        <v>17</v>
      </c>
      <c r="M287" s="15">
        <f t="shared" si="1"/>
        <v>-0.478618068</v>
      </c>
      <c r="N287" s="16">
        <f t="shared" si="2"/>
        <v>55.9</v>
      </c>
    </row>
    <row r="288" ht="15.75" customHeight="1">
      <c r="A288" s="9" t="s">
        <v>328</v>
      </c>
      <c r="B288" s="10" t="s">
        <v>15</v>
      </c>
      <c r="C288" s="11">
        <v>46090.0</v>
      </c>
      <c r="D288" s="11">
        <v>46113.0</v>
      </c>
      <c r="E288" s="10" t="s">
        <v>26</v>
      </c>
      <c r="F288" s="12">
        <v>22264.0</v>
      </c>
      <c r="G288" s="13">
        <v>1201.0</v>
      </c>
      <c r="H288" s="13">
        <v>67.0</v>
      </c>
      <c r="I288" s="14">
        <v>6616.89</v>
      </c>
      <c r="J288" s="13">
        <v>25707.0</v>
      </c>
      <c r="K288" s="13">
        <v>488433.0</v>
      </c>
      <c r="L288" s="10" t="s">
        <v>17</v>
      </c>
      <c r="M288" s="15">
        <f t="shared" si="1"/>
        <v>-0.7027986885</v>
      </c>
      <c r="N288" s="16">
        <f t="shared" si="2"/>
        <v>332.2985075</v>
      </c>
    </row>
    <row r="289" ht="15.75" customHeight="1">
      <c r="A289" s="9" t="s">
        <v>329</v>
      </c>
      <c r="B289" s="10" t="s">
        <v>75</v>
      </c>
      <c r="C289" s="11">
        <v>46066.0</v>
      </c>
      <c r="D289" s="11">
        <v>46116.0</v>
      </c>
      <c r="E289" s="10" t="s">
        <v>35</v>
      </c>
      <c r="F289" s="12">
        <v>4204.0</v>
      </c>
      <c r="G289" s="13">
        <v>248.0</v>
      </c>
      <c r="H289" s="13">
        <v>64.0</v>
      </c>
      <c r="I289" s="14">
        <v>13483.4</v>
      </c>
      <c r="J289" s="13">
        <v>16747.0</v>
      </c>
      <c r="K289" s="13">
        <v>234458.0</v>
      </c>
      <c r="L289" s="10" t="s">
        <v>17</v>
      </c>
      <c r="M289" s="15">
        <f t="shared" si="1"/>
        <v>2.207278782</v>
      </c>
      <c r="N289" s="16">
        <f t="shared" si="2"/>
        <v>65.6875</v>
      </c>
    </row>
    <row r="290" ht="15.75" customHeight="1">
      <c r="A290" s="9" t="s">
        <v>330</v>
      </c>
      <c r="B290" s="10" t="s">
        <v>30</v>
      </c>
      <c r="C290" s="11">
        <v>46141.0</v>
      </c>
      <c r="D290" s="11">
        <v>46192.0</v>
      </c>
      <c r="E290" s="10" t="s">
        <v>26</v>
      </c>
      <c r="F290" s="12">
        <v>14813.0</v>
      </c>
      <c r="G290" s="13">
        <v>795.0</v>
      </c>
      <c r="H290" s="13">
        <v>20.0</v>
      </c>
      <c r="I290" s="14">
        <v>2419.27</v>
      </c>
      <c r="J290" s="13">
        <v>27146.0</v>
      </c>
      <c r="K290" s="13">
        <v>542920.0</v>
      </c>
      <c r="L290" s="10" t="s">
        <v>17</v>
      </c>
      <c r="M290" s="15">
        <f t="shared" si="1"/>
        <v>-0.8366792682</v>
      </c>
      <c r="N290" s="16">
        <f t="shared" si="2"/>
        <v>740.65</v>
      </c>
    </row>
    <row r="291" ht="15.75" customHeight="1">
      <c r="A291" s="9" t="s">
        <v>331</v>
      </c>
      <c r="B291" s="10" t="s">
        <v>52</v>
      </c>
      <c r="C291" s="11">
        <v>45994.0</v>
      </c>
      <c r="D291" s="11">
        <v>46028.0</v>
      </c>
      <c r="E291" s="10" t="s">
        <v>35</v>
      </c>
      <c r="F291" s="12">
        <v>4596.0</v>
      </c>
      <c r="G291" s="13">
        <v>710.0</v>
      </c>
      <c r="H291" s="13">
        <v>102.0</v>
      </c>
      <c r="I291" s="14">
        <v>10530.51</v>
      </c>
      <c r="J291" s="13">
        <v>10765.0</v>
      </c>
      <c r="K291" s="13">
        <v>139945.0</v>
      </c>
      <c r="L291" s="10" t="s">
        <v>17</v>
      </c>
      <c r="M291" s="15">
        <f t="shared" si="1"/>
        <v>1.291233681</v>
      </c>
      <c r="N291" s="16">
        <f t="shared" si="2"/>
        <v>45.05882353</v>
      </c>
    </row>
    <row r="292" ht="15.75" customHeight="1">
      <c r="A292" s="9" t="s">
        <v>332</v>
      </c>
      <c r="B292" s="10" t="s">
        <v>58</v>
      </c>
      <c r="C292" s="11">
        <v>46091.0</v>
      </c>
      <c r="D292" s="11">
        <v>46098.0</v>
      </c>
      <c r="E292" s="10" t="s">
        <v>35</v>
      </c>
      <c r="F292" s="12">
        <v>3763.0</v>
      </c>
      <c r="G292" s="13">
        <v>210.0</v>
      </c>
      <c r="H292" s="13">
        <v>45.0</v>
      </c>
      <c r="I292" s="14">
        <v>6974.19</v>
      </c>
      <c r="J292" s="13">
        <v>10814.0</v>
      </c>
      <c r="K292" s="13">
        <v>173024.0</v>
      </c>
      <c r="L292" s="10" t="s">
        <v>17</v>
      </c>
      <c r="M292" s="15">
        <f t="shared" si="1"/>
        <v>0.8533590221</v>
      </c>
      <c r="N292" s="16">
        <f t="shared" si="2"/>
        <v>83.62222222</v>
      </c>
    </row>
    <row r="293" ht="15.75" customHeight="1">
      <c r="A293" s="9" t="s">
        <v>333</v>
      </c>
      <c r="B293" s="10" t="s">
        <v>75</v>
      </c>
      <c r="C293" s="11">
        <v>45922.0</v>
      </c>
      <c r="D293" s="11">
        <v>45928.0</v>
      </c>
      <c r="E293" s="10" t="s">
        <v>26</v>
      </c>
      <c r="F293" s="12">
        <v>11434.0</v>
      </c>
      <c r="G293" s="13">
        <v>592.0</v>
      </c>
      <c r="H293" s="13">
        <v>24.0</v>
      </c>
      <c r="I293" s="14">
        <v>1257.0</v>
      </c>
      <c r="J293" s="13">
        <v>16771.0</v>
      </c>
      <c r="K293" s="13">
        <v>184481.0</v>
      </c>
      <c r="L293" s="10" t="s">
        <v>17</v>
      </c>
      <c r="M293" s="15">
        <f t="shared" si="1"/>
        <v>-0.8900647193</v>
      </c>
      <c r="N293" s="16">
        <f t="shared" si="2"/>
        <v>476.4166667</v>
      </c>
    </row>
    <row r="294" ht="15.75" customHeight="1">
      <c r="A294" s="9" t="s">
        <v>334</v>
      </c>
      <c r="B294" s="10" t="s">
        <v>25</v>
      </c>
      <c r="C294" s="11">
        <v>46189.0</v>
      </c>
      <c r="D294" s="11">
        <v>46243.0</v>
      </c>
      <c r="E294" s="10" t="s">
        <v>35</v>
      </c>
      <c r="F294" s="12">
        <v>3266.0</v>
      </c>
      <c r="G294" s="13">
        <v>333.0</v>
      </c>
      <c r="H294" s="13">
        <v>51.0</v>
      </c>
      <c r="I294" s="14">
        <v>6829.43</v>
      </c>
      <c r="J294" s="13">
        <v>8283.0</v>
      </c>
      <c r="K294" s="13">
        <v>173943.0</v>
      </c>
      <c r="L294" s="10" t="s">
        <v>17</v>
      </c>
      <c r="M294" s="15">
        <f t="shared" si="1"/>
        <v>1.091068585</v>
      </c>
      <c r="N294" s="16">
        <f t="shared" si="2"/>
        <v>64.03921569</v>
      </c>
    </row>
    <row r="295" ht="15.75" customHeight="1">
      <c r="A295" s="9" t="s">
        <v>335</v>
      </c>
      <c r="B295" s="10" t="s">
        <v>75</v>
      </c>
      <c r="C295" s="11">
        <v>45935.0</v>
      </c>
      <c r="D295" s="11">
        <v>45988.0</v>
      </c>
      <c r="E295" s="10" t="s">
        <v>16</v>
      </c>
      <c r="F295" s="12">
        <v>43612.0</v>
      </c>
      <c r="G295" s="13">
        <v>3514.0</v>
      </c>
      <c r="H295" s="13">
        <v>455.0</v>
      </c>
      <c r="I295" s="14">
        <v>64369.69</v>
      </c>
      <c r="J295" s="13">
        <v>32756.0</v>
      </c>
      <c r="K295" s="13">
        <v>393072.0</v>
      </c>
      <c r="L295" s="10" t="s">
        <v>17</v>
      </c>
      <c r="M295" s="15">
        <f t="shared" si="1"/>
        <v>0.4759628084</v>
      </c>
      <c r="N295" s="16">
        <f t="shared" si="2"/>
        <v>95.85054945</v>
      </c>
    </row>
    <row r="296" ht="15.75" customHeight="1">
      <c r="A296" s="9" t="s">
        <v>336</v>
      </c>
      <c r="B296" s="10" t="s">
        <v>58</v>
      </c>
      <c r="C296" s="11">
        <v>46065.0</v>
      </c>
      <c r="D296" s="11">
        <v>46124.0</v>
      </c>
      <c r="E296" s="10" t="s">
        <v>26</v>
      </c>
      <c r="F296" s="12">
        <v>22083.0</v>
      </c>
      <c r="G296" s="13">
        <v>3268.0</v>
      </c>
      <c r="H296" s="13">
        <v>167.0</v>
      </c>
      <c r="I296" s="14">
        <v>17872.95</v>
      </c>
      <c r="J296" s="13">
        <v>25035.0</v>
      </c>
      <c r="K296" s="13">
        <v>425595.0</v>
      </c>
      <c r="L296" s="10" t="s">
        <v>17</v>
      </c>
      <c r="M296" s="15">
        <f t="shared" si="1"/>
        <v>-0.1906466513</v>
      </c>
      <c r="N296" s="16">
        <f t="shared" si="2"/>
        <v>132.2335329</v>
      </c>
    </row>
    <row r="297" ht="15.75" customHeight="1">
      <c r="A297" s="9" t="s">
        <v>337</v>
      </c>
      <c r="B297" s="10" t="s">
        <v>52</v>
      </c>
      <c r="C297" s="11">
        <v>45896.0</v>
      </c>
      <c r="D297" s="11">
        <v>45903.0</v>
      </c>
      <c r="E297" s="10" t="s">
        <v>35</v>
      </c>
      <c r="F297" s="12">
        <v>954.0</v>
      </c>
      <c r="G297" s="13">
        <v>203.0</v>
      </c>
      <c r="H297" s="13">
        <v>51.0</v>
      </c>
      <c r="I297" s="14">
        <v>3643.93</v>
      </c>
      <c r="J297" s="13">
        <v>2298.0</v>
      </c>
      <c r="K297" s="13">
        <v>22980.0</v>
      </c>
      <c r="L297" s="10" t="s">
        <v>17</v>
      </c>
      <c r="M297" s="15">
        <f t="shared" si="1"/>
        <v>2.819633124</v>
      </c>
      <c r="N297" s="16">
        <f t="shared" si="2"/>
        <v>18.70588235</v>
      </c>
    </row>
    <row r="298" ht="15.75" customHeight="1">
      <c r="A298" s="9" t="s">
        <v>338</v>
      </c>
      <c r="B298" s="10" t="s">
        <v>56</v>
      </c>
      <c r="C298" s="11">
        <v>46097.0</v>
      </c>
      <c r="D298" s="11">
        <v>46136.0</v>
      </c>
      <c r="E298" s="10" t="s">
        <v>16</v>
      </c>
      <c r="F298" s="12">
        <v>11478.0</v>
      </c>
      <c r="G298" s="13">
        <v>2717.0</v>
      </c>
      <c r="H298" s="13">
        <v>170.0</v>
      </c>
      <c r="I298" s="14">
        <v>13152.49</v>
      </c>
      <c r="J298" s="13">
        <v>10646.0</v>
      </c>
      <c r="K298" s="13">
        <v>117106.0</v>
      </c>
      <c r="L298" s="10" t="s">
        <v>17</v>
      </c>
      <c r="M298" s="15">
        <f t="shared" si="1"/>
        <v>0.1458869141</v>
      </c>
      <c r="N298" s="16">
        <f t="shared" si="2"/>
        <v>67.51764706</v>
      </c>
    </row>
    <row r="299" ht="15.75" customHeight="1">
      <c r="A299" s="9" t="s">
        <v>339</v>
      </c>
      <c r="B299" s="10" t="s">
        <v>58</v>
      </c>
      <c r="C299" s="11">
        <v>46140.0</v>
      </c>
      <c r="D299" s="11">
        <v>46154.0</v>
      </c>
      <c r="E299" s="10" t="s">
        <v>26</v>
      </c>
      <c r="F299" s="12">
        <v>16906.0</v>
      </c>
      <c r="G299" s="13">
        <v>974.0</v>
      </c>
      <c r="H299" s="13">
        <v>58.0</v>
      </c>
      <c r="I299" s="14">
        <v>12327.81</v>
      </c>
      <c r="J299" s="13">
        <v>46394.0</v>
      </c>
      <c r="K299" s="13">
        <v>1020668.0</v>
      </c>
      <c r="L299" s="10" t="s">
        <v>17</v>
      </c>
      <c r="M299" s="15">
        <f t="shared" si="1"/>
        <v>-0.2708026736</v>
      </c>
      <c r="N299" s="16">
        <f t="shared" si="2"/>
        <v>291.4827586</v>
      </c>
    </row>
    <row r="300" ht="15.75" customHeight="1">
      <c r="A300" s="9" t="s">
        <v>340</v>
      </c>
      <c r="B300" s="10" t="s">
        <v>56</v>
      </c>
      <c r="C300" s="11">
        <v>45859.0</v>
      </c>
      <c r="D300" s="11">
        <v>45867.0</v>
      </c>
      <c r="E300" s="10" t="s">
        <v>26</v>
      </c>
      <c r="F300" s="12">
        <v>13251.0</v>
      </c>
      <c r="G300" s="13">
        <v>1171.0</v>
      </c>
      <c r="H300" s="13">
        <v>58.0</v>
      </c>
      <c r="I300" s="14">
        <v>10679.74</v>
      </c>
      <c r="J300" s="13">
        <v>24960.0</v>
      </c>
      <c r="K300" s="13">
        <v>524160.0</v>
      </c>
      <c r="L300" s="10" t="s">
        <v>17</v>
      </c>
      <c r="M300" s="15">
        <f t="shared" si="1"/>
        <v>-0.1940427138</v>
      </c>
      <c r="N300" s="16">
        <f t="shared" si="2"/>
        <v>228.4655172</v>
      </c>
    </row>
    <row r="301" ht="15.75" customHeight="1">
      <c r="A301" s="9" t="s">
        <v>342</v>
      </c>
      <c r="B301" s="10" t="s">
        <v>38</v>
      </c>
      <c r="C301" s="11">
        <v>45925.0</v>
      </c>
      <c r="D301" s="11">
        <v>45932.0</v>
      </c>
      <c r="E301" s="10" t="s">
        <v>35</v>
      </c>
      <c r="F301" s="12">
        <v>3779.0</v>
      </c>
      <c r="G301" s="13">
        <v>279.0</v>
      </c>
      <c r="H301" s="13">
        <v>82.0</v>
      </c>
      <c r="I301" s="14">
        <v>16013.82</v>
      </c>
      <c r="J301" s="13">
        <v>14073.0</v>
      </c>
      <c r="K301" s="13">
        <v>365898.0</v>
      </c>
      <c r="L301" s="10" t="s">
        <v>17</v>
      </c>
      <c r="M301" s="15">
        <f t="shared" si="1"/>
        <v>3.237581371</v>
      </c>
      <c r="N301" s="16">
        <f t="shared" si="2"/>
        <v>46.08536585</v>
      </c>
    </row>
    <row r="302" ht="15.75" customHeight="1">
      <c r="A302" s="9" t="s">
        <v>343</v>
      </c>
      <c r="B302" s="10" t="s">
        <v>30</v>
      </c>
      <c r="C302" s="11">
        <v>45972.0</v>
      </c>
      <c r="D302" s="11">
        <v>46009.0</v>
      </c>
      <c r="E302" s="10" t="s">
        <v>16</v>
      </c>
      <c r="F302" s="12">
        <v>29519.0</v>
      </c>
      <c r="G302" s="13">
        <v>6892.0</v>
      </c>
      <c r="H302" s="13">
        <v>1069.0</v>
      </c>
      <c r="I302" s="14">
        <v>218918.8</v>
      </c>
      <c r="J302" s="13">
        <v>28369.0</v>
      </c>
      <c r="K302" s="13">
        <v>624118.0</v>
      </c>
      <c r="L302" s="10" t="s">
        <v>17</v>
      </c>
      <c r="M302" s="15">
        <f t="shared" si="1"/>
        <v>6.416199736</v>
      </c>
      <c r="N302" s="16">
        <f t="shared" si="2"/>
        <v>27.61365762</v>
      </c>
    </row>
    <row r="303" ht="15.75" customHeight="1">
      <c r="A303" s="9" t="s">
        <v>344</v>
      </c>
      <c r="B303" s="10" t="s">
        <v>52</v>
      </c>
      <c r="C303" s="11">
        <v>46039.0</v>
      </c>
      <c r="D303" s="11">
        <v>46058.0</v>
      </c>
      <c r="E303" s="10" t="s">
        <v>16</v>
      </c>
      <c r="F303" s="12">
        <v>39420.0</v>
      </c>
      <c r="G303" s="13">
        <v>2659.0</v>
      </c>
      <c r="H303" s="13">
        <v>337.0</v>
      </c>
      <c r="I303" s="14">
        <v>30528.78</v>
      </c>
      <c r="J303" s="13">
        <v>44907.0</v>
      </c>
      <c r="K303" s="13">
        <v>1167582.0</v>
      </c>
      <c r="L303" s="10" t="s">
        <v>17</v>
      </c>
      <c r="M303" s="15">
        <f t="shared" si="1"/>
        <v>-0.2255509893</v>
      </c>
      <c r="N303" s="16">
        <f t="shared" si="2"/>
        <v>116.9732938</v>
      </c>
    </row>
    <row r="304" ht="15.75" customHeight="1">
      <c r="A304" s="9" t="s">
        <v>345</v>
      </c>
      <c r="B304" s="10" t="s">
        <v>47</v>
      </c>
      <c r="C304" s="11">
        <v>46021.0</v>
      </c>
      <c r="D304" s="11">
        <v>46050.0</v>
      </c>
      <c r="E304" s="10" t="s">
        <v>16</v>
      </c>
      <c r="F304" s="12">
        <v>30020.0</v>
      </c>
      <c r="G304" s="13">
        <v>3871.0</v>
      </c>
      <c r="H304" s="13">
        <v>221.0</v>
      </c>
      <c r="I304" s="14">
        <v>19736.57</v>
      </c>
      <c r="J304" s="13">
        <v>40337.0</v>
      </c>
      <c r="K304" s="13">
        <v>1008425.0</v>
      </c>
      <c r="L304" s="10" t="s">
        <v>17</v>
      </c>
      <c r="M304" s="15">
        <f t="shared" si="1"/>
        <v>-0.3425526316</v>
      </c>
      <c r="N304" s="16">
        <f t="shared" si="2"/>
        <v>135.8371041</v>
      </c>
    </row>
    <row r="305" ht="15.75" customHeight="1">
      <c r="A305" s="9" t="s">
        <v>346</v>
      </c>
      <c r="B305" s="10" t="s">
        <v>25</v>
      </c>
      <c r="C305" s="11">
        <v>46054.0</v>
      </c>
      <c r="D305" s="11">
        <v>46074.0</v>
      </c>
      <c r="E305" s="10" t="s">
        <v>16</v>
      </c>
      <c r="F305" s="12">
        <v>8337.0</v>
      </c>
      <c r="G305" s="13">
        <v>421.0</v>
      </c>
      <c r="H305" s="13">
        <v>59.0</v>
      </c>
      <c r="I305" s="14">
        <v>6440.5</v>
      </c>
      <c r="J305" s="13">
        <v>7662.0</v>
      </c>
      <c r="K305" s="13">
        <v>137916.0</v>
      </c>
      <c r="L305" s="10" t="s">
        <v>17</v>
      </c>
      <c r="M305" s="15">
        <f t="shared" si="1"/>
        <v>-0.2274799088</v>
      </c>
      <c r="N305" s="16">
        <f t="shared" si="2"/>
        <v>141.3050847</v>
      </c>
    </row>
    <row r="306" ht="15.75" customHeight="1">
      <c r="A306" s="9" t="s">
        <v>347</v>
      </c>
      <c r="B306" s="10" t="s">
        <v>47</v>
      </c>
      <c r="C306" s="11">
        <v>46025.0</v>
      </c>
      <c r="D306" s="11">
        <v>46055.0</v>
      </c>
      <c r="E306" s="10" t="s">
        <v>16</v>
      </c>
      <c r="F306" s="12">
        <v>20222.0</v>
      </c>
      <c r="G306" s="13">
        <v>1218.0</v>
      </c>
      <c r="H306" s="13">
        <v>139.0</v>
      </c>
      <c r="I306" s="14">
        <v>27080.03</v>
      </c>
      <c r="J306" s="13">
        <v>15008.0</v>
      </c>
      <c r="K306" s="13">
        <v>225120.0</v>
      </c>
      <c r="L306" s="10" t="s">
        <v>17</v>
      </c>
      <c r="M306" s="15">
        <f t="shared" si="1"/>
        <v>0.3391370784</v>
      </c>
      <c r="N306" s="16">
        <f t="shared" si="2"/>
        <v>145.4820144</v>
      </c>
    </row>
    <row r="307" ht="15.75" customHeight="1">
      <c r="A307" s="9" t="s">
        <v>348</v>
      </c>
      <c r="B307" s="10" t="s">
        <v>56</v>
      </c>
      <c r="C307" s="11">
        <v>46011.0</v>
      </c>
      <c r="D307" s="11">
        <v>46031.0</v>
      </c>
      <c r="E307" s="10" t="s">
        <v>26</v>
      </c>
      <c r="F307" s="12">
        <v>4704.0</v>
      </c>
      <c r="G307" s="13">
        <v>434.0</v>
      </c>
      <c r="H307" s="13">
        <v>23.0</v>
      </c>
      <c r="I307" s="14">
        <v>2171.88</v>
      </c>
      <c r="J307" s="13">
        <v>7603.0</v>
      </c>
      <c r="K307" s="13">
        <v>136854.0</v>
      </c>
      <c r="L307" s="10" t="s">
        <v>17</v>
      </c>
      <c r="M307" s="15">
        <f t="shared" si="1"/>
        <v>-0.5382908163</v>
      </c>
      <c r="N307" s="16">
        <f t="shared" si="2"/>
        <v>204.5217391</v>
      </c>
    </row>
    <row r="308" ht="15.75" customHeight="1">
      <c r="A308" s="9" t="s">
        <v>349</v>
      </c>
      <c r="B308" s="10" t="s">
        <v>58</v>
      </c>
      <c r="C308" s="11">
        <v>46119.0</v>
      </c>
      <c r="D308" s="11">
        <v>46133.0</v>
      </c>
      <c r="E308" s="10" t="s">
        <v>35</v>
      </c>
      <c r="F308" s="12">
        <v>952.0</v>
      </c>
      <c r="G308" s="13">
        <v>136.0</v>
      </c>
      <c r="H308" s="13">
        <v>30.0</v>
      </c>
      <c r="I308" s="14">
        <v>4196.45</v>
      </c>
      <c r="J308" s="13">
        <v>2878.0</v>
      </c>
      <c r="K308" s="13">
        <v>77706.0</v>
      </c>
      <c r="L308" s="10" t="s">
        <v>17</v>
      </c>
      <c r="M308" s="15">
        <f t="shared" si="1"/>
        <v>3.408035714</v>
      </c>
      <c r="N308" s="16">
        <f t="shared" si="2"/>
        <v>31.73333333</v>
      </c>
    </row>
    <row r="309" ht="15.75" customHeight="1">
      <c r="A309" s="9" t="s">
        <v>350</v>
      </c>
      <c r="B309" s="10" t="s">
        <v>62</v>
      </c>
      <c r="C309" s="11">
        <v>46106.0</v>
      </c>
      <c r="D309" s="11">
        <v>46121.0</v>
      </c>
      <c r="E309" s="10" t="s">
        <v>16</v>
      </c>
      <c r="F309" s="12">
        <v>30873.0</v>
      </c>
      <c r="G309" s="13">
        <v>1936.0</v>
      </c>
      <c r="H309" s="13">
        <v>213.0</v>
      </c>
      <c r="I309" s="14">
        <v>42081.09</v>
      </c>
      <c r="J309" s="13">
        <v>41699.0</v>
      </c>
      <c r="K309" s="13">
        <v>875679.0</v>
      </c>
      <c r="L309" s="10" t="s">
        <v>17</v>
      </c>
      <c r="M309" s="15">
        <f t="shared" si="1"/>
        <v>0.3630385774</v>
      </c>
      <c r="N309" s="16">
        <f t="shared" si="2"/>
        <v>144.943662</v>
      </c>
    </row>
    <row r="310" ht="15.75" customHeight="1">
      <c r="A310" s="9" t="s">
        <v>351</v>
      </c>
      <c r="B310" s="10" t="s">
        <v>62</v>
      </c>
      <c r="C310" s="11">
        <v>46046.0</v>
      </c>
      <c r="D310" s="11">
        <v>46064.0</v>
      </c>
      <c r="E310" s="10" t="s">
        <v>16</v>
      </c>
      <c r="F310" s="12">
        <v>14442.0</v>
      </c>
      <c r="G310" s="13">
        <v>862.0</v>
      </c>
      <c r="H310" s="13">
        <v>59.0</v>
      </c>
      <c r="I310" s="14">
        <v>15937.12</v>
      </c>
      <c r="J310" s="13">
        <v>27367.0</v>
      </c>
      <c r="K310" s="13">
        <v>437872.0</v>
      </c>
      <c r="L310" s="10" t="s">
        <v>17</v>
      </c>
      <c r="M310" s="15">
        <f t="shared" si="1"/>
        <v>0.1035258274</v>
      </c>
      <c r="N310" s="16">
        <f t="shared" si="2"/>
        <v>244.779661</v>
      </c>
    </row>
    <row r="311" ht="15.75" customHeight="1">
      <c r="A311" s="9" t="s">
        <v>352</v>
      </c>
      <c r="B311" s="10" t="s">
        <v>58</v>
      </c>
      <c r="C311" s="11">
        <v>46168.0</v>
      </c>
      <c r="D311" s="11">
        <v>46225.0</v>
      </c>
      <c r="E311" s="10" t="s">
        <v>16</v>
      </c>
      <c r="F311" s="12">
        <v>9767.0</v>
      </c>
      <c r="G311" s="13">
        <v>2261.0</v>
      </c>
      <c r="H311" s="13">
        <v>396.0</v>
      </c>
      <c r="I311" s="14">
        <v>68449.56</v>
      </c>
      <c r="J311" s="13">
        <v>9907.0</v>
      </c>
      <c r="K311" s="13">
        <v>188233.0</v>
      </c>
      <c r="L311" s="10" t="s">
        <v>17</v>
      </c>
      <c r="M311" s="15">
        <f t="shared" si="1"/>
        <v>6.008248183</v>
      </c>
      <c r="N311" s="16">
        <f t="shared" si="2"/>
        <v>24.66414141</v>
      </c>
    </row>
    <row r="312" ht="15.75" customHeight="1">
      <c r="A312" s="9" t="s">
        <v>353</v>
      </c>
      <c r="B312" s="10" t="s">
        <v>58</v>
      </c>
      <c r="C312" s="11">
        <v>45959.0</v>
      </c>
      <c r="D312" s="11">
        <v>45969.0</v>
      </c>
      <c r="E312" s="10" t="s">
        <v>35</v>
      </c>
      <c r="F312" s="12">
        <v>4898.0</v>
      </c>
      <c r="G312" s="13">
        <v>283.0</v>
      </c>
      <c r="H312" s="13">
        <v>81.0</v>
      </c>
      <c r="I312" s="14">
        <v>19269.42</v>
      </c>
      <c r="J312" s="13">
        <v>14722.0</v>
      </c>
      <c r="K312" s="13">
        <v>264996.0</v>
      </c>
      <c r="L312" s="10" t="s">
        <v>17</v>
      </c>
      <c r="M312" s="15">
        <f t="shared" si="1"/>
        <v>2.934140465</v>
      </c>
      <c r="N312" s="16">
        <f t="shared" si="2"/>
        <v>60.4691358</v>
      </c>
    </row>
    <row r="313" ht="15.75" customHeight="1">
      <c r="A313" s="9" t="s">
        <v>354</v>
      </c>
      <c r="B313" s="10" t="s">
        <v>25</v>
      </c>
      <c r="C313" s="11">
        <v>46055.0</v>
      </c>
      <c r="D313" s="11">
        <v>46071.0</v>
      </c>
      <c r="E313" s="10" t="s">
        <v>35</v>
      </c>
      <c r="F313" s="12">
        <v>1981.0</v>
      </c>
      <c r="G313" s="13">
        <v>236.0</v>
      </c>
      <c r="H313" s="13">
        <v>28.0</v>
      </c>
      <c r="I313" s="14">
        <v>1872.13</v>
      </c>
      <c r="J313" s="13">
        <v>8806.0</v>
      </c>
      <c r="K313" s="13">
        <v>202538.0</v>
      </c>
      <c r="L313" s="10" t="s">
        <v>17</v>
      </c>
      <c r="M313" s="15">
        <f t="shared" si="1"/>
        <v>-0.05495709238</v>
      </c>
      <c r="N313" s="16">
        <f t="shared" si="2"/>
        <v>70.75</v>
      </c>
    </row>
    <row r="314" ht="15.75" customHeight="1">
      <c r="A314" s="9" t="s">
        <v>355</v>
      </c>
      <c r="B314" s="10" t="s">
        <v>62</v>
      </c>
      <c r="C314" s="11">
        <v>46027.0</v>
      </c>
      <c r="D314" s="11">
        <v>46082.0</v>
      </c>
      <c r="E314" s="10" t="s">
        <v>26</v>
      </c>
      <c r="F314" s="12">
        <v>12598.0</v>
      </c>
      <c r="G314" s="13">
        <v>920.0</v>
      </c>
      <c r="H314" s="13">
        <v>19.0</v>
      </c>
      <c r="I314" s="14">
        <v>13837.66</v>
      </c>
      <c r="J314" s="13">
        <v>14314.0</v>
      </c>
      <c r="K314" s="13">
        <v>357850.0</v>
      </c>
      <c r="L314" s="10" t="s">
        <v>17</v>
      </c>
      <c r="M314" s="15">
        <f t="shared" si="1"/>
        <v>0.09840133355</v>
      </c>
      <c r="N314" s="16">
        <f t="shared" si="2"/>
        <v>663.0526316</v>
      </c>
    </row>
    <row r="315" ht="15.75" customHeight="1">
      <c r="A315" s="9" t="s">
        <v>356</v>
      </c>
      <c r="B315" s="10" t="s">
        <v>62</v>
      </c>
      <c r="C315" s="11">
        <v>45960.0</v>
      </c>
      <c r="D315" s="11">
        <v>46017.0</v>
      </c>
      <c r="E315" s="10" t="s">
        <v>26</v>
      </c>
      <c r="F315" s="12">
        <v>16996.0</v>
      </c>
      <c r="G315" s="13">
        <v>1652.0</v>
      </c>
      <c r="H315" s="13">
        <v>71.0</v>
      </c>
      <c r="I315" s="14">
        <v>14310.21</v>
      </c>
      <c r="J315" s="13">
        <v>20092.0</v>
      </c>
      <c r="K315" s="13">
        <v>261196.0</v>
      </c>
      <c r="L315" s="10" t="s">
        <v>17</v>
      </c>
      <c r="M315" s="15">
        <f t="shared" si="1"/>
        <v>-0.1580248294</v>
      </c>
      <c r="N315" s="16">
        <f t="shared" si="2"/>
        <v>239.3802817</v>
      </c>
    </row>
    <row r="316" ht="15.75" customHeight="1">
      <c r="A316" s="9" t="s">
        <v>357</v>
      </c>
      <c r="B316" s="10" t="s">
        <v>58</v>
      </c>
      <c r="C316" s="11">
        <v>45856.0</v>
      </c>
      <c r="D316" s="11">
        <v>45876.0</v>
      </c>
      <c r="E316" s="10" t="s">
        <v>16</v>
      </c>
      <c r="F316" s="12">
        <v>12249.0</v>
      </c>
      <c r="G316" s="13">
        <v>1061.0</v>
      </c>
      <c r="H316" s="13">
        <v>166.0</v>
      </c>
      <c r="I316" s="14">
        <v>21642.28</v>
      </c>
      <c r="J316" s="13">
        <v>8503.0</v>
      </c>
      <c r="K316" s="13">
        <v>255090.0</v>
      </c>
      <c r="L316" s="10" t="s">
        <v>17</v>
      </c>
      <c r="M316" s="15">
        <f t="shared" si="1"/>
        <v>0.7668609682</v>
      </c>
      <c r="N316" s="16">
        <f t="shared" si="2"/>
        <v>73.78915663</v>
      </c>
    </row>
    <row r="317" ht="15.75" customHeight="1">
      <c r="A317" s="9" t="s">
        <v>358</v>
      </c>
      <c r="B317" s="10" t="s">
        <v>25</v>
      </c>
      <c r="C317" s="11">
        <v>46006.0</v>
      </c>
      <c r="D317" s="11">
        <v>46038.0</v>
      </c>
      <c r="E317" s="10" t="s">
        <v>35</v>
      </c>
      <c r="F317" s="12">
        <v>1024.0</v>
      </c>
      <c r="G317" s="13">
        <v>147.0</v>
      </c>
      <c r="H317" s="13">
        <v>37.0</v>
      </c>
      <c r="I317" s="14">
        <v>1814.89</v>
      </c>
      <c r="J317" s="13">
        <v>2734.0</v>
      </c>
      <c r="K317" s="13">
        <v>41010.0</v>
      </c>
      <c r="L317" s="10" t="s">
        <v>17</v>
      </c>
      <c r="M317" s="15">
        <f t="shared" si="1"/>
        <v>0.7723535156</v>
      </c>
      <c r="N317" s="16">
        <f t="shared" si="2"/>
        <v>27.67567568</v>
      </c>
    </row>
    <row r="318" ht="15.75" customHeight="1">
      <c r="A318" s="9" t="s">
        <v>359</v>
      </c>
      <c r="B318" s="10" t="s">
        <v>15</v>
      </c>
      <c r="C318" s="11">
        <v>46190.0</v>
      </c>
      <c r="D318" s="11">
        <v>46219.0</v>
      </c>
      <c r="E318" s="10" t="s">
        <v>35</v>
      </c>
      <c r="F318" s="12">
        <v>3416.0</v>
      </c>
      <c r="G318" s="13">
        <v>556.0</v>
      </c>
      <c r="H318" s="13">
        <v>105.0</v>
      </c>
      <c r="I318" s="14">
        <v>8332.78</v>
      </c>
      <c r="J318" s="13">
        <v>7495.0</v>
      </c>
      <c r="K318" s="13">
        <v>149900.0</v>
      </c>
      <c r="L318" s="10" t="s">
        <v>17</v>
      </c>
      <c r="M318" s="15">
        <f t="shared" si="1"/>
        <v>1.439338407</v>
      </c>
      <c r="N318" s="16">
        <f t="shared" si="2"/>
        <v>32.53333333</v>
      </c>
    </row>
    <row r="319" ht="15.75" customHeight="1">
      <c r="A319" s="9" t="s">
        <v>360</v>
      </c>
      <c r="B319" s="10" t="s">
        <v>52</v>
      </c>
      <c r="C319" s="11">
        <v>45850.0</v>
      </c>
      <c r="D319" s="11">
        <v>45888.0</v>
      </c>
      <c r="E319" s="10" t="s">
        <v>26</v>
      </c>
      <c r="F319" s="12">
        <v>23704.0</v>
      </c>
      <c r="G319" s="13">
        <v>4370.0</v>
      </c>
      <c r="H319" s="13">
        <v>247.0</v>
      </c>
      <c r="I319" s="14">
        <v>29318.01</v>
      </c>
      <c r="J319" s="13">
        <v>54214.0</v>
      </c>
      <c r="K319" s="13">
        <v>650568.0</v>
      </c>
      <c r="L319" s="10" t="s">
        <v>17</v>
      </c>
      <c r="M319" s="15">
        <f t="shared" si="1"/>
        <v>0.2368380864</v>
      </c>
      <c r="N319" s="16">
        <f t="shared" si="2"/>
        <v>95.96761134</v>
      </c>
    </row>
    <row r="320" ht="15.75" customHeight="1">
      <c r="A320" s="9" t="s">
        <v>361</v>
      </c>
      <c r="B320" s="10" t="s">
        <v>30</v>
      </c>
      <c r="C320" s="11">
        <v>46108.0</v>
      </c>
      <c r="D320" s="11">
        <v>46138.0</v>
      </c>
      <c r="E320" s="10" t="s">
        <v>26</v>
      </c>
      <c r="F320" s="12">
        <v>17367.0</v>
      </c>
      <c r="G320" s="13">
        <v>2287.0</v>
      </c>
      <c r="H320" s="13">
        <v>159.0</v>
      </c>
      <c r="I320" s="14">
        <v>14779.37</v>
      </c>
      <c r="J320" s="13">
        <v>29115.0</v>
      </c>
      <c r="K320" s="13">
        <v>611415.0</v>
      </c>
      <c r="L320" s="10" t="s">
        <v>17</v>
      </c>
      <c r="M320" s="15">
        <f t="shared" si="1"/>
        <v>-0.1489969482</v>
      </c>
      <c r="N320" s="16">
        <f t="shared" si="2"/>
        <v>109.2264151</v>
      </c>
    </row>
    <row r="321" ht="15.75" customHeight="1">
      <c r="A321" s="9" t="s">
        <v>362</v>
      </c>
      <c r="B321" s="10" t="s">
        <v>38</v>
      </c>
      <c r="C321" s="11">
        <v>45935.0</v>
      </c>
      <c r="D321" s="11">
        <v>45964.0</v>
      </c>
      <c r="E321" s="10" t="s">
        <v>35</v>
      </c>
      <c r="F321" s="12">
        <v>2277.0</v>
      </c>
      <c r="G321" s="13">
        <v>263.0</v>
      </c>
      <c r="H321" s="13">
        <v>47.0</v>
      </c>
      <c r="I321" s="14">
        <v>4498.86</v>
      </c>
      <c r="J321" s="13">
        <v>11323.0</v>
      </c>
      <c r="K321" s="13">
        <v>90584.0</v>
      </c>
      <c r="L321" s="10" t="s">
        <v>17</v>
      </c>
      <c r="M321" s="15">
        <f t="shared" si="1"/>
        <v>0.9757839262</v>
      </c>
      <c r="N321" s="16">
        <f t="shared" si="2"/>
        <v>48.44680851</v>
      </c>
    </row>
    <row r="322" ht="15.75" customHeight="1">
      <c r="A322" s="9" t="s">
        <v>363</v>
      </c>
      <c r="B322" s="10" t="s">
        <v>19</v>
      </c>
      <c r="C322" s="11">
        <v>46035.0</v>
      </c>
      <c r="D322" s="11">
        <v>46083.0</v>
      </c>
      <c r="E322" s="10" t="s">
        <v>35</v>
      </c>
      <c r="F322" s="12">
        <v>44267.0</v>
      </c>
      <c r="G322" s="13">
        <v>772.0</v>
      </c>
      <c r="H322" s="13">
        <v>190.0</v>
      </c>
      <c r="I322" s="14">
        <v>10390.42</v>
      </c>
      <c r="J322" s="13">
        <v>17802.0</v>
      </c>
      <c r="K322" s="13">
        <v>480654.0</v>
      </c>
      <c r="L322" s="10" t="s">
        <v>17</v>
      </c>
      <c r="M322" s="15">
        <f t="shared" si="1"/>
        <v>-0.7652784241</v>
      </c>
      <c r="N322" s="16">
        <f t="shared" si="2"/>
        <v>232.9842105</v>
      </c>
    </row>
    <row r="323" ht="15.75" customHeight="1">
      <c r="A323" s="9" t="s">
        <v>364</v>
      </c>
      <c r="B323" s="10" t="s">
        <v>75</v>
      </c>
      <c r="C323" s="11">
        <v>45993.0</v>
      </c>
      <c r="D323" s="11">
        <v>46021.0</v>
      </c>
      <c r="E323" s="10" t="s">
        <v>16</v>
      </c>
      <c r="F323" s="12">
        <v>50991.0</v>
      </c>
      <c r="G323" s="13">
        <v>3936.0</v>
      </c>
      <c r="H323" s="13">
        <v>386.0</v>
      </c>
      <c r="I323" s="14">
        <v>53150.46</v>
      </c>
      <c r="J323" s="13">
        <v>34733.0</v>
      </c>
      <c r="K323" s="13">
        <v>625194.0</v>
      </c>
      <c r="L323" s="10" t="s">
        <v>17</v>
      </c>
      <c r="M323" s="15">
        <f t="shared" si="1"/>
        <v>0.04234982644</v>
      </c>
      <c r="N323" s="16">
        <f t="shared" si="2"/>
        <v>132.1010363</v>
      </c>
    </row>
    <row r="324" ht="15.75" customHeight="1">
      <c r="A324" s="9" t="s">
        <v>365</v>
      </c>
      <c r="B324" s="10" t="s">
        <v>19</v>
      </c>
      <c r="C324" s="11">
        <v>45904.0</v>
      </c>
      <c r="D324" s="11">
        <v>45938.0</v>
      </c>
      <c r="E324" s="10" t="s">
        <v>26</v>
      </c>
      <c r="F324" s="12">
        <v>11707.0</v>
      </c>
      <c r="G324" s="13">
        <v>1372.0</v>
      </c>
      <c r="H324" s="13">
        <v>89.0</v>
      </c>
      <c r="I324" s="14">
        <v>18298.93</v>
      </c>
      <c r="J324" s="13">
        <v>13680.0</v>
      </c>
      <c r="K324" s="13">
        <v>246240.0</v>
      </c>
      <c r="L324" s="10" t="s">
        <v>17</v>
      </c>
      <c r="M324" s="15">
        <f t="shared" si="1"/>
        <v>0.5630759375</v>
      </c>
      <c r="N324" s="16">
        <f t="shared" si="2"/>
        <v>131.5393258</v>
      </c>
    </row>
    <row r="325" ht="15.75" customHeight="1">
      <c r="A325" s="9" t="s">
        <v>366</v>
      </c>
      <c r="B325" s="10" t="s">
        <v>15</v>
      </c>
      <c r="C325" s="11">
        <v>46021.0</v>
      </c>
      <c r="D325" s="11">
        <v>46069.0</v>
      </c>
      <c r="E325" s="10" t="s">
        <v>26</v>
      </c>
      <c r="F325" s="12">
        <v>20878.0</v>
      </c>
      <c r="G325" s="13">
        <v>1190.0</v>
      </c>
      <c r="H325" s="13">
        <v>58.0</v>
      </c>
      <c r="I325" s="14">
        <v>10220.0</v>
      </c>
      <c r="J325" s="13">
        <v>35042.0</v>
      </c>
      <c r="K325" s="13">
        <v>841008.0</v>
      </c>
      <c r="L325" s="10" t="s">
        <v>17</v>
      </c>
      <c r="M325" s="15">
        <f t="shared" si="1"/>
        <v>-0.5104895105</v>
      </c>
      <c r="N325" s="16">
        <f t="shared" si="2"/>
        <v>359.9655172</v>
      </c>
    </row>
    <row r="326" ht="15.75" customHeight="1">
      <c r="A326" s="9" t="s">
        <v>367</v>
      </c>
      <c r="B326" s="10" t="s">
        <v>28</v>
      </c>
      <c r="C326" s="11">
        <v>45841.0</v>
      </c>
      <c r="D326" s="11">
        <v>45877.0</v>
      </c>
      <c r="E326" s="10" t="s">
        <v>16</v>
      </c>
      <c r="F326" s="12">
        <v>57256.0</v>
      </c>
      <c r="G326" s="13">
        <v>10948.0</v>
      </c>
      <c r="H326" s="13">
        <v>1359.0</v>
      </c>
      <c r="I326" s="14">
        <v>865821.89</v>
      </c>
      <c r="J326" s="13">
        <v>62477.0</v>
      </c>
      <c r="K326" s="13">
        <v>1624402.0</v>
      </c>
      <c r="L326" s="10" t="s">
        <v>17</v>
      </c>
      <c r="M326" s="15">
        <f t="shared" si="1"/>
        <v>14.12194163</v>
      </c>
      <c r="N326" s="16">
        <f t="shared" si="2"/>
        <v>42.13097866</v>
      </c>
    </row>
    <row r="327" ht="15.75" customHeight="1">
      <c r="A327" s="9" t="s">
        <v>368</v>
      </c>
      <c r="B327" s="10" t="s">
        <v>30</v>
      </c>
      <c r="C327" s="11">
        <v>46201.0</v>
      </c>
      <c r="D327" s="11">
        <v>46246.0</v>
      </c>
      <c r="E327" s="10" t="s">
        <v>26</v>
      </c>
      <c r="F327" s="12">
        <v>18223.0</v>
      </c>
      <c r="G327" s="13">
        <v>1349.0</v>
      </c>
      <c r="H327" s="13">
        <v>63.0</v>
      </c>
      <c r="I327" s="14">
        <v>33448.16</v>
      </c>
      <c r="J327" s="13">
        <v>20871.0</v>
      </c>
      <c r="K327" s="13">
        <v>542646.0</v>
      </c>
      <c r="L327" s="10" t="s">
        <v>17</v>
      </c>
      <c r="M327" s="15">
        <f t="shared" si="1"/>
        <v>0.835491412</v>
      </c>
      <c r="N327" s="16">
        <f t="shared" si="2"/>
        <v>289.2539683</v>
      </c>
    </row>
    <row r="328" ht="15.75" customHeight="1">
      <c r="A328" s="9" t="s">
        <v>369</v>
      </c>
      <c r="B328" s="10" t="s">
        <v>38</v>
      </c>
      <c r="C328" s="11">
        <v>45991.0</v>
      </c>
      <c r="D328" s="11">
        <v>46025.0</v>
      </c>
      <c r="E328" s="10" t="s">
        <v>26</v>
      </c>
      <c r="F328" s="12">
        <v>16667.0</v>
      </c>
      <c r="G328" s="13">
        <v>902.0</v>
      </c>
      <c r="H328" s="13">
        <v>57.0</v>
      </c>
      <c r="I328" s="14">
        <v>8304.61</v>
      </c>
      <c r="J328" s="13">
        <v>19538.0</v>
      </c>
      <c r="K328" s="13">
        <v>390760.0</v>
      </c>
      <c r="L328" s="10" t="s">
        <v>17</v>
      </c>
      <c r="M328" s="15">
        <f t="shared" si="1"/>
        <v>-0.5017333653</v>
      </c>
      <c r="N328" s="16">
        <f t="shared" si="2"/>
        <v>292.4035088</v>
      </c>
    </row>
    <row r="329" ht="15.75" customHeight="1">
      <c r="A329" s="9" t="s">
        <v>370</v>
      </c>
      <c r="B329" s="10" t="s">
        <v>56</v>
      </c>
      <c r="C329" s="11">
        <v>46153.0</v>
      </c>
      <c r="D329" s="11">
        <v>46167.0</v>
      </c>
      <c r="E329" s="10" t="s">
        <v>35</v>
      </c>
      <c r="F329" s="12">
        <v>4356.0</v>
      </c>
      <c r="G329" s="13">
        <v>356.0</v>
      </c>
      <c r="H329" s="13">
        <v>80.0</v>
      </c>
      <c r="I329" s="14">
        <v>18140.13</v>
      </c>
      <c r="J329" s="13">
        <v>23864.0</v>
      </c>
      <c r="K329" s="13">
        <v>668192.0</v>
      </c>
      <c r="L329" s="10" t="s">
        <v>17</v>
      </c>
      <c r="M329" s="15">
        <f t="shared" si="1"/>
        <v>3.164400826</v>
      </c>
      <c r="N329" s="16">
        <f t="shared" si="2"/>
        <v>54.45</v>
      </c>
    </row>
    <row r="330" ht="15.75" customHeight="1">
      <c r="A330" s="9" t="s">
        <v>371</v>
      </c>
      <c r="B330" s="10" t="s">
        <v>19</v>
      </c>
      <c r="C330" s="11">
        <v>45904.0</v>
      </c>
      <c r="D330" s="11">
        <v>45950.0</v>
      </c>
      <c r="E330" s="10" t="s">
        <v>26</v>
      </c>
      <c r="F330" s="12">
        <v>12343.0</v>
      </c>
      <c r="G330" s="13">
        <v>1414.0</v>
      </c>
      <c r="H330" s="13">
        <v>99.0</v>
      </c>
      <c r="I330" s="14">
        <v>1657.41</v>
      </c>
      <c r="J330" s="13">
        <v>20107.0</v>
      </c>
      <c r="K330" s="13">
        <v>522782.0</v>
      </c>
      <c r="L330" s="10" t="s">
        <v>17</v>
      </c>
      <c r="M330" s="15">
        <f t="shared" si="1"/>
        <v>-0.8657206514</v>
      </c>
      <c r="N330" s="16">
        <f t="shared" si="2"/>
        <v>124.6767677</v>
      </c>
    </row>
    <row r="331" ht="15.75" customHeight="1">
      <c r="A331" s="9" t="s">
        <v>372</v>
      </c>
      <c r="B331" s="10" t="s">
        <v>15</v>
      </c>
      <c r="C331" s="11">
        <v>46177.0</v>
      </c>
      <c r="D331" s="11">
        <v>46209.0</v>
      </c>
      <c r="E331" s="10" t="s">
        <v>26</v>
      </c>
      <c r="F331" s="12">
        <v>8383.0</v>
      </c>
      <c r="G331" s="13">
        <v>1774.0</v>
      </c>
      <c r="H331" s="13">
        <v>119.0</v>
      </c>
      <c r="I331" s="14">
        <v>15033.96</v>
      </c>
      <c r="J331" s="13">
        <v>10404.0</v>
      </c>
      <c r="K331" s="13">
        <v>166464.0</v>
      </c>
      <c r="L331" s="10" t="s">
        <v>17</v>
      </c>
      <c r="M331" s="15">
        <f t="shared" si="1"/>
        <v>0.7933866158</v>
      </c>
      <c r="N331" s="16">
        <f t="shared" si="2"/>
        <v>70.44537815</v>
      </c>
    </row>
    <row r="332" ht="15.75" customHeight="1">
      <c r="A332" s="9" t="s">
        <v>373</v>
      </c>
      <c r="B332" s="10" t="s">
        <v>47</v>
      </c>
      <c r="C332" s="11">
        <v>46148.0</v>
      </c>
      <c r="D332" s="11">
        <v>46167.0</v>
      </c>
      <c r="E332" s="10" t="s">
        <v>26</v>
      </c>
      <c r="F332" s="12">
        <v>24566.0</v>
      </c>
      <c r="G332" s="13">
        <v>6001.0</v>
      </c>
      <c r="H332" s="13">
        <v>158.0</v>
      </c>
      <c r="I332" s="14">
        <v>49659.65</v>
      </c>
      <c r="J332" s="13">
        <v>39582.0</v>
      </c>
      <c r="K332" s="13">
        <v>1068714.0</v>
      </c>
      <c r="L332" s="10" t="s">
        <v>17</v>
      </c>
      <c r="M332" s="15">
        <f t="shared" si="1"/>
        <v>1.021478873</v>
      </c>
      <c r="N332" s="16">
        <f t="shared" si="2"/>
        <v>155.4810127</v>
      </c>
    </row>
    <row r="333" ht="15.75" customHeight="1">
      <c r="A333" s="9" t="s">
        <v>374</v>
      </c>
      <c r="B333" s="10" t="s">
        <v>19</v>
      </c>
      <c r="C333" s="11">
        <v>46183.0</v>
      </c>
      <c r="D333" s="11">
        <v>46230.0</v>
      </c>
      <c r="E333" s="10" t="s">
        <v>26</v>
      </c>
      <c r="F333" s="12">
        <v>24621.0</v>
      </c>
      <c r="G333" s="13">
        <v>4102.0</v>
      </c>
      <c r="H333" s="13">
        <v>179.0</v>
      </c>
      <c r="I333" s="14">
        <v>5438.59</v>
      </c>
      <c r="J333" s="13">
        <v>51123.0</v>
      </c>
      <c r="K333" s="13">
        <v>1431444.0</v>
      </c>
      <c r="L333" s="10" t="s">
        <v>17</v>
      </c>
      <c r="M333" s="15">
        <f t="shared" si="1"/>
        <v>-0.7791076723</v>
      </c>
      <c r="N333" s="16">
        <f t="shared" si="2"/>
        <v>137.547486</v>
      </c>
    </row>
    <row r="334" ht="15.75" customHeight="1">
      <c r="A334" s="9" t="s">
        <v>375</v>
      </c>
      <c r="B334" s="10" t="s">
        <v>56</v>
      </c>
      <c r="C334" s="11">
        <v>45870.0</v>
      </c>
      <c r="D334" s="11">
        <v>45906.0</v>
      </c>
      <c r="E334" s="10" t="s">
        <v>26</v>
      </c>
      <c r="F334" s="12">
        <v>3123.0</v>
      </c>
      <c r="G334" s="13">
        <v>622.0</v>
      </c>
      <c r="H334" s="13">
        <v>28.0</v>
      </c>
      <c r="I334" s="14">
        <v>5520.48</v>
      </c>
      <c r="J334" s="13">
        <v>6379.0</v>
      </c>
      <c r="K334" s="13">
        <v>191370.0</v>
      </c>
      <c r="L334" s="10" t="s">
        <v>17</v>
      </c>
      <c r="M334" s="15">
        <f t="shared" si="1"/>
        <v>0.7676849183</v>
      </c>
      <c r="N334" s="16">
        <f t="shared" si="2"/>
        <v>111.5357143</v>
      </c>
    </row>
    <row r="335" ht="15.75" customHeight="1">
      <c r="A335" s="9" t="s">
        <v>376</v>
      </c>
      <c r="B335" s="10" t="s">
        <v>56</v>
      </c>
      <c r="C335" s="11">
        <v>45957.0</v>
      </c>
      <c r="D335" s="11">
        <v>45992.0</v>
      </c>
      <c r="E335" s="10" t="s">
        <v>26</v>
      </c>
      <c r="F335" s="12">
        <v>29699.0</v>
      </c>
      <c r="G335" s="13">
        <v>517.0</v>
      </c>
      <c r="H335" s="13">
        <v>28.0</v>
      </c>
      <c r="I335" s="14">
        <v>5799.01</v>
      </c>
      <c r="J335" s="13">
        <v>13641.0</v>
      </c>
      <c r="K335" s="13">
        <v>286461.0</v>
      </c>
      <c r="L335" s="10" t="s">
        <v>17</v>
      </c>
      <c r="M335" s="15">
        <f t="shared" si="1"/>
        <v>-0.8047405637</v>
      </c>
      <c r="N335" s="16">
        <f t="shared" si="2"/>
        <v>1060.678571</v>
      </c>
    </row>
    <row r="336" ht="15.75" customHeight="1">
      <c r="A336" s="9" t="s">
        <v>377</v>
      </c>
      <c r="B336" s="10" t="s">
        <v>75</v>
      </c>
      <c r="C336" s="11">
        <v>45921.0</v>
      </c>
      <c r="D336" s="11">
        <v>45963.0</v>
      </c>
      <c r="E336" s="10" t="s">
        <v>35</v>
      </c>
      <c r="F336" s="12">
        <v>2497.0</v>
      </c>
      <c r="G336" s="13">
        <v>170.0</v>
      </c>
      <c r="H336" s="13">
        <v>26.0</v>
      </c>
      <c r="I336" s="14">
        <v>1654.6</v>
      </c>
      <c r="J336" s="13">
        <v>6057.0</v>
      </c>
      <c r="K336" s="13">
        <v>102969.0</v>
      </c>
      <c r="L336" s="10" t="s">
        <v>17</v>
      </c>
      <c r="M336" s="15">
        <f t="shared" si="1"/>
        <v>-0.3373648378</v>
      </c>
      <c r="N336" s="16">
        <f t="shared" si="2"/>
        <v>96.03846154</v>
      </c>
    </row>
    <row r="337" ht="15.75" customHeight="1">
      <c r="A337" s="9" t="s">
        <v>378</v>
      </c>
      <c r="B337" s="10" t="s">
        <v>52</v>
      </c>
      <c r="C337" s="11">
        <v>45862.0</v>
      </c>
      <c r="D337" s="11">
        <v>45914.0</v>
      </c>
      <c r="E337" s="10" t="s">
        <v>35</v>
      </c>
      <c r="F337" s="12">
        <v>2991.0</v>
      </c>
      <c r="G337" s="13">
        <v>166.0</v>
      </c>
      <c r="H337" s="13">
        <v>46.0</v>
      </c>
      <c r="I337" s="14">
        <v>4205.98</v>
      </c>
      <c r="J337" s="13">
        <v>6666.0</v>
      </c>
      <c r="K337" s="13">
        <v>73326.0</v>
      </c>
      <c r="L337" s="10" t="s">
        <v>17</v>
      </c>
      <c r="M337" s="15">
        <f t="shared" si="1"/>
        <v>0.4062119692</v>
      </c>
      <c r="N337" s="16">
        <f t="shared" si="2"/>
        <v>65.02173913</v>
      </c>
    </row>
    <row r="338" ht="15.75" customHeight="1">
      <c r="A338" s="9" t="s">
        <v>379</v>
      </c>
      <c r="B338" s="10" t="s">
        <v>15</v>
      </c>
      <c r="C338" s="11">
        <v>45860.0</v>
      </c>
      <c r="D338" s="11">
        <v>45895.0</v>
      </c>
      <c r="E338" s="10" t="s">
        <v>35</v>
      </c>
      <c r="F338" s="12">
        <v>31663.0</v>
      </c>
      <c r="G338" s="13">
        <v>228.0</v>
      </c>
      <c r="H338" s="13">
        <v>30.0</v>
      </c>
      <c r="I338" s="14">
        <v>3512.23</v>
      </c>
      <c r="J338" s="13">
        <v>8692.0</v>
      </c>
      <c r="K338" s="13">
        <v>104304.0</v>
      </c>
      <c r="L338" s="10" t="s">
        <v>17</v>
      </c>
      <c r="M338" s="15">
        <f t="shared" si="1"/>
        <v>-0.8890746297</v>
      </c>
      <c r="N338" s="16">
        <f t="shared" si="2"/>
        <v>1055.433333</v>
      </c>
    </row>
    <row r="339" ht="15.75" customHeight="1">
      <c r="A339" s="9" t="s">
        <v>380</v>
      </c>
      <c r="B339" s="10" t="s">
        <v>15</v>
      </c>
      <c r="C339" s="11">
        <v>46051.0</v>
      </c>
      <c r="D339" s="11">
        <v>46103.0</v>
      </c>
      <c r="E339" s="10" t="s">
        <v>16</v>
      </c>
      <c r="F339" s="12">
        <v>57399.0</v>
      </c>
      <c r="G339" s="13">
        <v>4957.0</v>
      </c>
      <c r="H339" s="13">
        <v>252.0</v>
      </c>
      <c r="I339" s="14">
        <v>22132.31</v>
      </c>
      <c r="J339" s="13">
        <v>43001.0</v>
      </c>
      <c r="K339" s="13">
        <v>645015.0</v>
      </c>
      <c r="L339" s="10" t="s">
        <v>17</v>
      </c>
      <c r="M339" s="15">
        <f t="shared" si="1"/>
        <v>-0.6144129689</v>
      </c>
      <c r="N339" s="16">
        <f t="shared" si="2"/>
        <v>227.7738095</v>
      </c>
    </row>
    <row r="340" ht="15.75" customHeight="1">
      <c r="A340" s="9" t="s">
        <v>381</v>
      </c>
      <c r="B340" s="10" t="s">
        <v>25</v>
      </c>
      <c r="C340" s="11">
        <v>46058.0</v>
      </c>
      <c r="D340" s="11">
        <v>46087.0</v>
      </c>
      <c r="E340" s="10" t="s">
        <v>26</v>
      </c>
      <c r="F340" s="12">
        <v>15912.0</v>
      </c>
      <c r="G340" s="13">
        <v>1298.0</v>
      </c>
      <c r="H340" s="13">
        <v>95.0</v>
      </c>
      <c r="I340" s="14">
        <v>17709.52</v>
      </c>
      <c r="J340" s="13">
        <v>18266.0</v>
      </c>
      <c r="K340" s="13">
        <v>182660.0</v>
      </c>
      <c r="L340" s="10" t="s">
        <v>17</v>
      </c>
      <c r="M340" s="15">
        <f t="shared" si="1"/>
        <v>0.1129663147</v>
      </c>
      <c r="N340" s="16">
        <f t="shared" si="2"/>
        <v>167.4947368</v>
      </c>
    </row>
    <row r="341" ht="15.75" customHeight="1">
      <c r="A341" s="9" t="s">
        <v>382</v>
      </c>
      <c r="B341" s="10" t="s">
        <v>58</v>
      </c>
      <c r="C341" s="11">
        <v>46040.0</v>
      </c>
      <c r="D341" s="11">
        <v>46091.0</v>
      </c>
      <c r="E341" s="10" t="s">
        <v>16</v>
      </c>
      <c r="F341" s="12">
        <v>9430.0</v>
      </c>
      <c r="G341" s="13">
        <v>511.0</v>
      </c>
      <c r="H341" s="13">
        <v>69.0</v>
      </c>
      <c r="I341" s="14">
        <v>4099.9</v>
      </c>
      <c r="J341" s="13">
        <v>8261.0</v>
      </c>
      <c r="K341" s="13">
        <v>165220.0</v>
      </c>
      <c r="L341" s="10" t="s">
        <v>17</v>
      </c>
      <c r="M341" s="15">
        <f t="shared" si="1"/>
        <v>-0.5652279958</v>
      </c>
      <c r="N341" s="16">
        <f t="shared" si="2"/>
        <v>136.6666667</v>
      </c>
    </row>
    <row r="342" ht="15.75" customHeight="1">
      <c r="A342" s="9" t="s">
        <v>383</v>
      </c>
      <c r="B342" s="10" t="s">
        <v>15</v>
      </c>
      <c r="C342" s="11">
        <v>46015.0</v>
      </c>
      <c r="D342" s="11">
        <v>46018.0</v>
      </c>
      <c r="E342" s="10" t="s">
        <v>35</v>
      </c>
      <c r="F342" s="12">
        <v>3091.0</v>
      </c>
      <c r="G342" s="13">
        <v>486.0</v>
      </c>
      <c r="H342" s="13">
        <v>136.0</v>
      </c>
      <c r="I342" s="14">
        <v>16599.0</v>
      </c>
      <c r="J342" s="13">
        <v>8500.0</v>
      </c>
      <c r="K342" s="13">
        <v>161500.0</v>
      </c>
      <c r="L342" s="10" t="s">
        <v>17</v>
      </c>
      <c r="M342" s="15">
        <f t="shared" si="1"/>
        <v>4.370106762</v>
      </c>
      <c r="N342" s="16">
        <f t="shared" si="2"/>
        <v>22.72794118</v>
      </c>
    </row>
    <row r="343" ht="15.75" customHeight="1">
      <c r="A343" s="9" t="s">
        <v>384</v>
      </c>
      <c r="B343" s="10" t="s">
        <v>56</v>
      </c>
      <c r="C343" s="11">
        <v>45853.0</v>
      </c>
      <c r="D343" s="11">
        <v>45912.0</v>
      </c>
      <c r="E343" s="10" t="s">
        <v>26</v>
      </c>
      <c r="F343" s="12">
        <v>20192.0</v>
      </c>
      <c r="G343" s="13">
        <v>1232.0</v>
      </c>
      <c r="H343" s="13">
        <v>68.0</v>
      </c>
      <c r="I343" s="14">
        <v>13409.84</v>
      </c>
      <c r="J343" s="13">
        <v>45395.0</v>
      </c>
      <c r="K343" s="13">
        <v>862505.0</v>
      </c>
      <c r="L343" s="10" t="s">
        <v>17</v>
      </c>
      <c r="M343" s="15">
        <f t="shared" si="1"/>
        <v>-0.3358835182</v>
      </c>
      <c r="N343" s="16">
        <f t="shared" si="2"/>
        <v>296.9411765</v>
      </c>
    </row>
    <row r="344" ht="15.75" customHeight="1">
      <c r="A344" s="9" t="s">
        <v>385</v>
      </c>
      <c r="B344" s="10" t="s">
        <v>25</v>
      </c>
      <c r="C344" s="11">
        <v>45841.0</v>
      </c>
      <c r="D344" s="11">
        <v>45873.0</v>
      </c>
      <c r="E344" s="10" t="s">
        <v>26</v>
      </c>
      <c r="F344" s="12">
        <v>13607.0</v>
      </c>
      <c r="G344" s="13">
        <v>686.0</v>
      </c>
      <c r="H344" s="13">
        <v>54.0</v>
      </c>
      <c r="I344" s="14">
        <v>8726.6</v>
      </c>
      <c r="J344" s="13">
        <v>17372.0</v>
      </c>
      <c r="K344" s="13">
        <v>295324.0</v>
      </c>
      <c r="L344" s="10" t="s">
        <v>17</v>
      </c>
      <c r="M344" s="15">
        <f t="shared" si="1"/>
        <v>-0.3586683325</v>
      </c>
      <c r="N344" s="16">
        <f t="shared" si="2"/>
        <v>251.9814815</v>
      </c>
    </row>
    <row r="345" ht="15.75" customHeight="1">
      <c r="A345" s="9" t="s">
        <v>386</v>
      </c>
      <c r="B345" s="10" t="s">
        <v>75</v>
      </c>
      <c r="C345" s="11">
        <v>46105.0</v>
      </c>
      <c r="D345" s="11">
        <v>46155.0</v>
      </c>
      <c r="E345" s="10" t="s">
        <v>35</v>
      </c>
      <c r="F345" s="12">
        <v>2828.0</v>
      </c>
      <c r="G345" s="13">
        <v>399.0</v>
      </c>
      <c r="H345" s="13">
        <v>48.0</v>
      </c>
      <c r="I345" s="14">
        <v>8628.29</v>
      </c>
      <c r="J345" s="13">
        <v>8550.0</v>
      </c>
      <c r="K345" s="13">
        <v>179550.0</v>
      </c>
      <c r="L345" s="10" t="s">
        <v>17</v>
      </c>
      <c r="M345" s="15">
        <f t="shared" si="1"/>
        <v>2.051021924</v>
      </c>
      <c r="N345" s="16">
        <f t="shared" si="2"/>
        <v>58.91666667</v>
      </c>
    </row>
    <row r="346" ht="15.75" customHeight="1">
      <c r="A346" s="9" t="s">
        <v>387</v>
      </c>
      <c r="B346" s="10" t="s">
        <v>58</v>
      </c>
      <c r="C346" s="11">
        <v>46045.0</v>
      </c>
      <c r="D346" s="11">
        <v>46085.0</v>
      </c>
      <c r="E346" s="10" t="s">
        <v>35</v>
      </c>
      <c r="F346" s="12">
        <v>4034.0</v>
      </c>
      <c r="G346" s="13">
        <v>284.0</v>
      </c>
      <c r="H346" s="13">
        <v>77.0</v>
      </c>
      <c r="I346" s="14">
        <v>17846.38</v>
      </c>
      <c r="J346" s="13">
        <v>11379.0</v>
      </c>
      <c r="K346" s="13">
        <v>273096.0</v>
      </c>
      <c r="L346" s="10" t="s">
        <v>17</v>
      </c>
      <c r="M346" s="15">
        <f t="shared" si="1"/>
        <v>3.423991076</v>
      </c>
      <c r="N346" s="16">
        <f t="shared" si="2"/>
        <v>52.38961039</v>
      </c>
    </row>
    <row r="347" ht="15.75" customHeight="1">
      <c r="A347" s="9" t="s">
        <v>388</v>
      </c>
      <c r="B347" s="10" t="s">
        <v>30</v>
      </c>
      <c r="C347" s="11">
        <v>46109.0</v>
      </c>
      <c r="D347" s="11">
        <v>46119.0</v>
      </c>
      <c r="E347" s="10" t="s">
        <v>16</v>
      </c>
      <c r="F347" s="12">
        <v>52512.0</v>
      </c>
      <c r="G347" s="13">
        <v>3293.0</v>
      </c>
      <c r="H347" s="13">
        <v>255.0</v>
      </c>
      <c r="I347" s="14">
        <v>51749.63</v>
      </c>
      <c r="J347" s="13">
        <v>53949.0</v>
      </c>
      <c r="K347" s="13">
        <v>1402674.0</v>
      </c>
      <c r="L347" s="10" t="s">
        <v>17</v>
      </c>
      <c r="M347" s="15">
        <f t="shared" si="1"/>
        <v>-0.01451801493</v>
      </c>
      <c r="N347" s="16">
        <f t="shared" si="2"/>
        <v>205.9294118</v>
      </c>
    </row>
    <row r="348" ht="15.75" customHeight="1">
      <c r="A348" s="9" t="s">
        <v>389</v>
      </c>
      <c r="B348" s="10" t="s">
        <v>25</v>
      </c>
      <c r="C348" s="11">
        <v>46017.0</v>
      </c>
      <c r="D348" s="11">
        <v>46024.0</v>
      </c>
      <c r="E348" s="10" t="s">
        <v>26</v>
      </c>
      <c r="F348" s="12">
        <v>3964.0</v>
      </c>
      <c r="G348" s="13">
        <v>303.0</v>
      </c>
      <c r="H348" s="13">
        <v>13.0</v>
      </c>
      <c r="I348" s="14">
        <v>2854.29</v>
      </c>
      <c r="J348" s="13">
        <v>6156.0</v>
      </c>
      <c r="K348" s="13">
        <v>147744.0</v>
      </c>
      <c r="L348" s="10" t="s">
        <v>17</v>
      </c>
      <c r="M348" s="15">
        <f t="shared" si="1"/>
        <v>-0.2799470232</v>
      </c>
      <c r="N348" s="16">
        <f t="shared" si="2"/>
        <v>304.9230769</v>
      </c>
    </row>
    <row r="349" ht="15.75" customHeight="1">
      <c r="A349" s="9" t="s">
        <v>390</v>
      </c>
      <c r="B349" s="10" t="s">
        <v>28</v>
      </c>
      <c r="C349" s="11">
        <v>46082.0</v>
      </c>
      <c r="D349" s="11">
        <v>46117.0</v>
      </c>
      <c r="E349" s="10" t="s">
        <v>16</v>
      </c>
      <c r="F349" s="12">
        <v>8223.0</v>
      </c>
      <c r="G349" s="13">
        <v>1195.0</v>
      </c>
      <c r="H349" s="13">
        <v>78.0</v>
      </c>
      <c r="I349" s="14">
        <v>4264.86</v>
      </c>
      <c r="J349" s="13">
        <v>5725.0</v>
      </c>
      <c r="K349" s="13">
        <v>143125.0</v>
      </c>
      <c r="L349" s="10" t="s">
        <v>17</v>
      </c>
      <c r="M349" s="15">
        <f t="shared" si="1"/>
        <v>-0.4813498723</v>
      </c>
      <c r="N349" s="16">
        <f t="shared" si="2"/>
        <v>105.4230769</v>
      </c>
    </row>
    <row r="350" ht="15.75" customHeight="1">
      <c r="A350" s="9" t="s">
        <v>391</v>
      </c>
      <c r="B350" s="10" t="s">
        <v>75</v>
      </c>
      <c r="C350" s="11">
        <v>45931.0</v>
      </c>
      <c r="D350" s="11">
        <v>45960.0</v>
      </c>
      <c r="E350" s="10" t="s">
        <v>26</v>
      </c>
      <c r="F350" s="12">
        <v>3288.0</v>
      </c>
      <c r="G350" s="13">
        <v>405.0</v>
      </c>
      <c r="H350" s="13">
        <v>28.0</v>
      </c>
      <c r="I350" s="14">
        <v>1664.02</v>
      </c>
      <c r="J350" s="13">
        <v>6704.0</v>
      </c>
      <c r="K350" s="13">
        <v>113968.0</v>
      </c>
      <c r="L350" s="10" t="s">
        <v>17</v>
      </c>
      <c r="M350" s="15">
        <f t="shared" si="1"/>
        <v>-0.4939111922</v>
      </c>
      <c r="N350" s="16">
        <f t="shared" si="2"/>
        <v>117.4285714</v>
      </c>
    </row>
    <row r="351" ht="15.75" customHeight="1">
      <c r="A351" s="9" t="s">
        <v>392</v>
      </c>
      <c r="B351" s="10" t="s">
        <v>52</v>
      </c>
      <c r="C351" s="11">
        <v>45868.0</v>
      </c>
      <c r="D351" s="11">
        <v>45890.0</v>
      </c>
      <c r="E351" s="10" t="s">
        <v>26</v>
      </c>
      <c r="F351" s="12">
        <v>15277.0</v>
      </c>
      <c r="G351" s="13">
        <v>835.0</v>
      </c>
      <c r="H351" s="13">
        <v>21.0</v>
      </c>
      <c r="I351" s="14">
        <v>2174.26</v>
      </c>
      <c r="J351" s="13">
        <v>39631.0</v>
      </c>
      <c r="K351" s="13">
        <v>594465.0</v>
      </c>
      <c r="L351" s="10" t="s">
        <v>17</v>
      </c>
      <c r="M351" s="15">
        <f t="shared" si="1"/>
        <v>-0.8576775545</v>
      </c>
      <c r="N351" s="16">
        <f t="shared" si="2"/>
        <v>727.4761905</v>
      </c>
    </row>
    <row r="352" ht="15.75" customHeight="1">
      <c r="A352" s="9" t="s">
        <v>393</v>
      </c>
      <c r="B352" s="10" t="s">
        <v>56</v>
      </c>
      <c r="C352" s="11">
        <v>46001.0</v>
      </c>
      <c r="D352" s="11">
        <v>46033.0</v>
      </c>
      <c r="E352" s="10" t="s">
        <v>26</v>
      </c>
      <c r="F352" s="12">
        <v>20624.0</v>
      </c>
      <c r="G352" s="13">
        <v>1960.0</v>
      </c>
      <c r="H352" s="13">
        <v>87.0</v>
      </c>
      <c r="I352" s="14">
        <v>8476.11</v>
      </c>
      <c r="J352" s="13">
        <v>34926.0</v>
      </c>
      <c r="K352" s="13">
        <v>873150.0</v>
      </c>
      <c r="L352" s="10" t="s">
        <v>17</v>
      </c>
      <c r="M352" s="15">
        <f t="shared" si="1"/>
        <v>-0.5890171645</v>
      </c>
      <c r="N352" s="16">
        <f t="shared" si="2"/>
        <v>237.0574713</v>
      </c>
    </row>
    <row r="353" ht="15.75" customHeight="1">
      <c r="A353" s="9" t="s">
        <v>394</v>
      </c>
      <c r="B353" s="10" t="s">
        <v>30</v>
      </c>
      <c r="C353" s="11">
        <v>45992.0</v>
      </c>
      <c r="D353" s="11">
        <v>46000.0</v>
      </c>
      <c r="E353" s="10" t="s">
        <v>16</v>
      </c>
      <c r="F353" s="12">
        <v>32906.0</v>
      </c>
      <c r="G353" s="13">
        <v>2109.0</v>
      </c>
      <c r="H353" s="13">
        <v>296.0</v>
      </c>
      <c r="I353" s="14">
        <v>72255.17</v>
      </c>
      <c r="J353" s="13">
        <v>24732.0</v>
      </c>
      <c r="K353" s="13">
        <v>445176.0</v>
      </c>
      <c r="L353" s="10" t="s">
        <v>17</v>
      </c>
      <c r="M353" s="15">
        <f t="shared" si="1"/>
        <v>1.195805324</v>
      </c>
      <c r="N353" s="16">
        <f t="shared" si="2"/>
        <v>111.1689189</v>
      </c>
    </row>
    <row r="354" ht="15.75" customHeight="1">
      <c r="A354" s="9" t="s">
        <v>395</v>
      </c>
      <c r="B354" s="10" t="s">
        <v>62</v>
      </c>
      <c r="C354" s="11">
        <v>46003.0</v>
      </c>
      <c r="D354" s="11">
        <v>46027.0</v>
      </c>
      <c r="E354" s="10" t="s">
        <v>26</v>
      </c>
      <c r="F354" s="12">
        <v>9401.0</v>
      </c>
      <c r="G354" s="13">
        <v>2209.0</v>
      </c>
      <c r="H354" s="13">
        <v>105.0</v>
      </c>
      <c r="I354" s="14">
        <v>8968.85</v>
      </c>
      <c r="J354" s="13">
        <v>14250.0</v>
      </c>
      <c r="K354" s="13">
        <v>427500.0</v>
      </c>
      <c r="L354" s="10" t="s">
        <v>17</v>
      </c>
      <c r="M354" s="15">
        <f t="shared" si="1"/>
        <v>-0.04596851399</v>
      </c>
      <c r="N354" s="16">
        <f t="shared" si="2"/>
        <v>89.53333333</v>
      </c>
    </row>
    <row r="355" ht="15.75" customHeight="1">
      <c r="A355" s="9" t="s">
        <v>396</v>
      </c>
      <c r="B355" s="10" t="s">
        <v>38</v>
      </c>
      <c r="C355" s="11">
        <v>45979.0</v>
      </c>
      <c r="D355" s="11">
        <v>45994.0</v>
      </c>
      <c r="E355" s="10" t="s">
        <v>35</v>
      </c>
      <c r="F355" s="12">
        <v>989.0</v>
      </c>
      <c r="G355" s="13">
        <v>78.0</v>
      </c>
      <c r="H355" s="13">
        <v>23.0</v>
      </c>
      <c r="I355" s="14">
        <v>2130.55</v>
      </c>
      <c r="J355" s="13">
        <v>2519.0</v>
      </c>
      <c r="K355" s="13">
        <v>22671.0</v>
      </c>
      <c r="L355" s="10" t="s">
        <v>17</v>
      </c>
      <c r="M355" s="15">
        <f t="shared" si="1"/>
        <v>1.154246714</v>
      </c>
      <c r="N355" s="16">
        <f t="shared" si="2"/>
        <v>43</v>
      </c>
    </row>
    <row r="356" ht="15.75" customHeight="1">
      <c r="A356" s="9" t="s">
        <v>397</v>
      </c>
      <c r="B356" s="10" t="s">
        <v>58</v>
      </c>
      <c r="C356" s="11">
        <v>46187.0</v>
      </c>
      <c r="D356" s="11">
        <v>46223.0</v>
      </c>
      <c r="E356" s="10" t="s">
        <v>26</v>
      </c>
      <c r="F356" s="12">
        <v>17789.0</v>
      </c>
      <c r="G356" s="13">
        <v>3788.0</v>
      </c>
      <c r="H356" s="13">
        <v>188.0</v>
      </c>
      <c r="I356" s="14">
        <v>28183.44</v>
      </c>
      <c r="J356" s="13">
        <v>29145.0</v>
      </c>
      <c r="K356" s="13">
        <v>524610.0</v>
      </c>
      <c r="L356" s="10" t="s">
        <v>17</v>
      </c>
      <c r="M356" s="15">
        <f t="shared" si="1"/>
        <v>0.584318399</v>
      </c>
      <c r="N356" s="16">
        <f t="shared" si="2"/>
        <v>94.62234043</v>
      </c>
    </row>
    <row r="357" ht="15.75" customHeight="1">
      <c r="A357" s="9" t="s">
        <v>398</v>
      </c>
      <c r="B357" s="10" t="s">
        <v>28</v>
      </c>
      <c r="C357" s="11">
        <v>46192.0</v>
      </c>
      <c r="D357" s="11">
        <v>46222.0</v>
      </c>
      <c r="E357" s="10" t="s">
        <v>26</v>
      </c>
      <c r="F357" s="12">
        <v>4939.0</v>
      </c>
      <c r="G357" s="13">
        <v>532.0</v>
      </c>
      <c r="H357" s="13">
        <v>39.0</v>
      </c>
      <c r="I357" s="14">
        <v>3991.06</v>
      </c>
      <c r="J357" s="13">
        <v>11812.0</v>
      </c>
      <c r="K357" s="13">
        <v>177180.0</v>
      </c>
      <c r="L357" s="10" t="s">
        <v>17</v>
      </c>
      <c r="M357" s="15">
        <f t="shared" si="1"/>
        <v>-0.1919295404</v>
      </c>
      <c r="N357" s="16">
        <f t="shared" si="2"/>
        <v>126.6410256</v>
      </c>
    </row>
    <row r="358" ht="15.75" customHeight="1">
      <c r="A358" s="9" t="s">
        <v>399</v>
      </c>
      <c r="B358" s="10" t="s">
        <v>56</v>
      </c>
      <c r="C358" s="11">
        <v>46065.0</v>
      </c>
      <c r="D358" s="11">
        <v>46071.0</v>
      </c>
      <c r="E358" s="10" t="s">
        <v>26</v>
      </c>
      <c r="F358" s="12">
        <v>12378.0</v>
      </c>
      <c r="G358" s="13">
        <v>2198.0</v>
      </c>
      <c r="H358" s="13">
        <v>124.0</v>
      </c>
      <c r="I358" s="14">
        <v>6154.58</v>
      </c>
      <c r="J358" s="13">
        <v>22139.0</v>
      </c>
      <c r="K358" s="13">
        <v>597753.0</v>
      </c>
      <c r="L358" s="10" t="s">
        <v>17</v>
      </c>
      <c r="M358" s="15">
        <f t="shared" si="1"/>
        <v>-0.50278074</v>
      </c>
      <c r="N358" s="16">
        <f t="shared" si="2"/>
        <v>99.82258065</v>
      </c>
    </row>
    <row r="359" ht="15.75" customHeight="1">
      <c r="A359" s="9" t="s">
        <v>400</v>
      </c>
      <c r="B359" s="10" t="s">
        <v>56</v>
      </c>
      <c r="C359" s="11">
        <v>46020.0</v>
      </c>
      <c r="D359" s="11">
        <v>46049.0</v>
      </c>
      <c r="E359" s="10" t="s">
        <v>16</v>
      </c>
      <c r="F359" s="12">
        <v>38548.0</v>
      </c>
      <c r="G359" s="13">
        <v>4885.0</v>
      </c>
      <c r="H359" s="13">
        <v>704.0</v>
      </c>
      <c r="I359" s="14">
        <v>114091.28</v>
      </c>
      <c r="J359" s="13">
        <v>40807.0</v>
      </c>
      <c r="K359" s="13">
        <v>693719.0</v>
      </c>
      <c r="L359" s="10" t="s">
        <v>17</v>
      </c>
      <c r="M359" s="15">
        <f t="shared" si="1"/>
        <v>1.95971983</v>
      </c>
      <c r="N359" s="16">
        <f t="shared" si="2"/>
        <v>54.75568182</v>
      </c>
    </row>
    <row r="360" ht="15.75" customHeight="1">
      <c r="A360" s="9" t="s">
        <v>401</v>
      </c>
      <c r="B360" s="10" t="s">
        <v>15</v>
      </c>
      <c r="C360" s="11">
        <v>46014.0</v>
      </c>
      <c r="D360" s="11">
        <v>46035.0</v>
      </c>
      <c r="E360" s="10" t="s">
        <v>26</v>
      </c>
      <c r="F360" s="12">
        <v>14585.0</v>
      </c>
      <c r="G360" s="13">
        <v>1004.0</v>
      </c>
      <c r="H360" s="13">
        <v>78.0</v>
      </c>
      <c r="I360" s="14">
        <v>5216.41</v>
      </c>
      <c r="J360" s="13">
        <v>23886.0</v>
      </c>
      <c r="K360" s="13">
        <v>334404.0</v>
      </c>
      <c r="L360" s="10" t="s">
        <v>17</v>
      </c>
      <c r="M360" s="15">
        <f t="shared" si="1"/>
        <v>-0.6423441892</v>
      </c>
      <c r="N360" s="16">
        <f t="shared" si="2"/>
        <v>186.9871795</v>
      </c>
    </row>
    <row r="361" ht="15.75" customHeight="1">
      <c r="A361" s="9" t="s">
        <v>402</v>
      </c>
      <c r="B361" s="10" t="s">
        <v>58</v>
      </c>
      <c r="C361" s="11">
        <v>46194.0</v>
      </c>
      <c r="D361" s="11">
        <v>46241.0</v>
      </c>
      <c r="E361" s="10" t="s">
        <v>35</v>
      </c>
      <c r="F361" s="12">
        <v>4628.0</v>
      </c>
      <c r="G361" s="13">
        <v>349.0</v>
      </c>
      <c r="H361" s="13">
        <v>76.0</v>
      </c>
      <c r="I361" s="14">
        <v>16811.44</v>
      </c>
      <c r="J361" s="13">
        <v>17404.0</v>
      </c>
      <c r="K361" s="13">
        <v>156636.0</v>
      </c>
      <c r="L361" s="10" t="s">
        <v>17</v>
      </c>
      <c r="M361" s="15">
        <f t="shared" si="1"/>
        <v>2.632549697</v>
      </c>
      <c r="N361" s="16">
        <f t="shared" si="2"/>
        <v>60.89473684</v>
      </c>
    </row>
    <row r="362" ht="15.75" customHeight="1">
      <c r="A362" s="9" t="s">
        <v>403</v>
      </c>
      <c r="B362" s="10" t="s">
        <v>62</v>
      </c>
      <c r="C362" s="11">
        <v>46138.0</v>
      </c>
      <c r="D362" s="11">
        <v>46189.0</v>
      </c>
      <c r="E362" s="10" t="s">
        <v>26</v>
      </c>
      <c r="F362" s="12">
        <v>14293.0</v>
      </c>
      <c r="G362" s="13">
        <v>1994.0</v>
      </c>
      <c r="H362" s="13">
        <v>45.0</v>
      </c>
      <c r="I362" s="14">
        <v>23867.55</v>
      </c>
      <c r="J362" s="13">
        <v>44973.0</v>
      </c>
      <c r="K362" s="13">
        <v>359784.0</v>
      </c>
      <c r="L362" s="10" t="s">
        <v>17</v>
      </c>
      <c r="M362" s="15">
        <f t="shared" si="1"/>
        <v>0.6698768628</v>
      </c>
      <c r="N362" s="16">
        <f t="shared" si="2"/>
        <v>317.6222222</v>
      </c>
    </row>
    <row r="363" ht="15.75" customHeight="1">
      <c r="A363" s="9" t="s">
        <v>405</v>
      </c>
      <c r="B363" s="10" t="s">
        <v>25</v>
      </c>
      <c r="C363" s="11">
        <v>46174.0</v>
      </c>
      <c r="D363" s="11">
        <v>46227.0</v>
      </c>
      <c r="E363" s="10" t="s">
        <v>26</v>
      </c>
      <c r="F363" s="12">
        <v>6136.0</v>
      </c>
      <c r="G363" s="13">
        <v>543.0</v>
      </c>
      <c r="H363" s="13">
        <v>21.0</v>
      </c>
      <c r="I363" s="14">
        <v>2251.86</v>
      </c>
      <c r="J363" s="13">
        <v>14398.0</v>
      </c>
      <c r="K363" s="13">
        <v>302358.0</v>
      </c>
      <c r="L363" s="10" t="s">
        <v>17</v>
      </c>
      <c r="M363" s="15">
        <f t="shared" si="1"/>
        <v>-0.6330084746</v>
      </c>
      <c r="N363" s="16">
        <f t="shared" si="2"/>
        <v>292.1904762</v>
      </c>
    </row>
    <row r="364" ht="15.75" customHeight="1">
      <c r="A364" s="9" t="s">
        <v>406</v>
      </c>
      <c r="B364" s="10" t="s">
        <v>25</v>
      </c>
      <c r="C364" s="11">
        <v>45937.0</v>
      </c>
      <c r="D364" s="11">
        <v>45974.0</v>
      </c>
      <c r="E364" s="10" t="s">
        <v>35</v>
      </c>
      <c r="F364" s="12">
        <v>3898.0</v>
      </c>
      <c r="G364" s="13">
        <v>358.0</v>
      </c>
      <c r="H364" s="13">
        <v>85.0</v>
      </c>
      <c r="I364" s="14">
        <v>14994.24</v>
      </c>
      <c r="J364" s="13">
        <v>14918.0</v>
      </c>
      <c r="K364" s="13">
        <v>179016.0</v>
      </c>
      <c r="L364" s="10" t="s">
        <v>17</v>
      </c>
      <c r="M364" s="15">
        <f t="shared" si="1"/>
        <v>2.846649564</v>
      </c>
      <c r="N364" s="16">
        <f t="shared" si="2"/>
        <v>45.85882353</v>
      </c>
    </row>
    <row r="365" ht="15.75" customHeight="1">
      <c r="A365" s="9" t="s">
        <v>407</v>
      </c>
      <c r="B365" s="10" t="s">
        <v>75</v>
      </c>
      <c r="C365" s="11">
        <v>46032.0</v>
      </c>
      <c r="D365" s="11">
        <v>46071.0</v>
      </c>
      <c r="E365" s="10" t="s">
        <v>16</v>
      </c>
      <c r="F365" s="12">
        <v>17302.0</v>
      </c>
      <c r="G365" s="13">
        <v>1350.0</v>
      </c>
      <c r="H365" s="13">
        <v>231.0</v>
      </c>
      <c r="I365" s="14">
        <v>14354.61</v>
      </c>
      <c r="J365" s="13">
        <v>19793.0</v>
      </c>
      <c r="K365" s="13">
        <v>534411.0</v>
      </c>
      <c r="L365" s="10" t="s">
        <v>17</v>
      </c>
      <c r="M365" s="15">
        <f t="shared" si="1"/>
        <v>-0.1703496706</v>
      </c>
      <c r="N365" s="16">
        <f t="shared" si="2"/>
        <v>74.9004329</v>
      </c>
    </row>
    <row r="366" ht="15.75" customHeight="1">
      <c r="A366" s="9" t="s">
        <v>408</v>
      </c>
      <c r="B366" s="10" t="s">
        <v>28</v>
      </c>
      <c r="C366" s="11">
        <v>46001.0</v>
      </c>
      <c r="D366" s="11">
        <v>46021.0</v>
      </c>
      <c r="E366" s="10" t="s">
        <v>35</v>
      </c>
      <c r="F366" s="12">
        <v>3932.0</v>
      </c>
      <c r="G366" s="13">
        <v>476.0</v>
      </c>
      <c r="H366" s="13">
        <v>49.0</v>
      </c>
      <c r="I366" s="14">
        <v>3298.96</v>
      </c>
      <c r="J366" s="13">
        <v>12909.0</v>
      </c>
      <c r="K366" s="13">
        <v>206544.0</v>
      </c>
      <c r="L366" s="10" t="s">
        <v>17</v>
      </c>
      <c r="M366" s="15">
        <f t="shared" si="1"/>
        <v>-0.1609969481</v>
      </c>
      <c r="N366" s="16">
        <f t="shared" si="2"/>
        <v>80.24489796</v>
      </c>
    </row>
    <row r="367" ht="15.75" customHeight="1">
      <c r="A367" s="9" t="s">
        <v>409</v>
      </c>
      <c r="B367" s="10" t="s">
        <v>75</v>
      </c>
      <c r="C367" s="11">
        <v>46009.0</v>
      </c>
      <c r="D367" s="11">
        <v>46024.0</v>
      </c>
      <c r="E367" s="10" t="s">
        <v>16</v>
      </c>
      <c r="F367" s="12">
        <v>51243.0</v>
      </c>
      <c r="G367" s="13">
        <v>3005.0</v>
      </c>
      <c r="H367" s="13">
        <v>278.0</v>
      </c>
      <c r="I367" s="14">
        <v>43089.28</v>
      </c>
      <c r="J367" s="13">
        <v>63837.0</v>
      </c>
      <c r="K367" s="13">
        <v>1595925.0</v>
      </c>
      <c r="L367" s="10" t="s">
        <v>17</v>
      </c>
      <c r="M367" s="15">
        <f t="shared" si="1"/>
        <v>-0.1591187089</v>
      </c>
      <c r="N367" s="16">
        <f t="shared" si="2"/>
        <v>184.3273381</v>
      </c>
    </row>
    <row r="368" ht="15.75" customHeight="1">
      <c r="A368" s="9" t="s">
        <v>410</v>
      </c>
      <c r="B368" s="10" t="s">
        <v>52</v>
      </c>
      <c r="C368" s="11">
        <v>46045.0</v>
      </c>
      <c r="D368" s="11">
        <v>46073.0</v>
      </c>
      <c r="E368" s="10" t="s">
        <v>35</v>
      </c>
      <c r="F368" s="12">
        <v>897.0</v>
      </c>
      <c r="G368" s="13">
        <v>55.0</v>
      </c>
      <c r="H368" s="13">
        <v>10.0</v>
      </c>
      <c r="I368" s="14">
        <v>709.72</v>
      </c>
      <c r="J368" s="13">
        <v>2722.0</v>
      </c>
      <c r="K368" s="13">
        <v>68050.0</v>
      </c>
      <c r="L368" s="10" t="s">
        <v>17</v>
      </c>
      <c r="M368" s="15">
        <f t="shared" si="1"/>
        <v>-0.2087848384</v>
      </c>
      <c r="N368" s="16">
        <f t="shared" si="2"/>
        <v>89.7</v>
      </c>
    </row>
    <row r="369" ht="15.75" customHeight="1">
      <c r="A369" s="9" t="s">
        <v>411</v>
      </c>
      <c r="B369" s="10" t="s">
        <v>38</v>
      </c>
      <c r="C369" s="11">
        <v>46192.0</v>
      </c>
      <c r="D369" s="11">
        <v>46229.0</v>
      </c>
      <c r="E369" s="10" t="s">
        <v>35</v>
      </c>
      <c r="F369" s="12">
        <v>3254.0</v>
      </c>
      <c r="G369" s="13">
        <v>196.0</v>
      </c>
      <c r="H369" s="13">
        <v>32.0</v>
      </c>
      <c r="I369" s="14">
        <v>5968.92</v>
      </c>
      <c r="J369" s="13">
        <v>20577.0</v>
      </c>
      <c r="K369" s="13">
        <v>555579.0</v>
      </c>
      <c r="L369" s="10" t="s">
        <v>17</v>
      </c>
      <c r="M369" s="15">
        <f t="shared" si="1"/>
        <v>0.8343331285</v>
      </c>
      <c r="N369" s="16">
        <f t="shared" si="2"/>
        <v>101.6875</v>
      </c>
    </row>
    <row r="370" ht="15.75" customHeight="1">
      <c r="A370" s="9" t="s">
        <v>412</v>
      </c>
      <c r="B370" s="10" t="s">
        <v>15</v>
      </c>
      <c r="C370" s="11">
        <v>45958.0</v>
      </c>
      <c r="D370" s="11">
        <v>45979.0</v>
      </c>
      <c r="E370" s="10" t="s">
        <v>26</v>
      </c>
      <c r="F370" s="12">
        <v>24112.0</v>
      </c>
      <c r="G370" s="13">
        <v>2435.0</v>
      </c>
      <c r="H370" s="13">
        <v>125.0</v>
      </c>
      <c r="I370" s="14">
        <v>5841.33</v>
      </c>
      <c r="J370" s="13">
        <v>42095.0</v>
      </c>
      <c r="K370" s="13">
        <v>883995.0</v>
      </c>
      <c r="L370" s="10" t="s">
        <v>17</v>
      </c>
      <c r="M370" s="15">
        <f t="shared" si="1"/>
        <v>-0.7577417883</v>
      </c>
      <c r="N370" s="16">
        <f t="shared" si="2"/>
        <v>192.896</v>
      </c>
    </row>
    <row r="371" ht="15.75" customHeight="1">
      <c r="A371" s="9" t="s">
        <v>413</v>
      </c>
      <c r="B371" s="10" t="s">
        <v>15</v>
      </c>
      <c r="C371" s="11">
        <v>45944.0</v>
      </c>
      <c r="D371" s="11">
        <v>45966.0</v>
      </c>
      <c r="E371" s="10" t="s">
        <v>26</v>
      </c>
      <c r="F371" s="12">
        <v>16662.0</v>
      </c>
      <c r="G371" s="13">
        <v>2547.0</v>
      </c>
      <c r="H371" s="13">
        <v>175.0</v>
      </c>
      <c r="I371" s="14">
        <v>24311.7</v>
      </c>
      <c r="J371" s="13">
        <v>23841.0</v>
      </c>
      <c r="K371" s="13">
        <v>286092.0</v>
      </c>
      <c r="L371" s="10" t="s">
        <v>17</v>
      </c>
      <c r="M371" s="15">
        <f t="shared" si="1"/>
        <v>0.459110551</v>
      </c>
      <c r="N371" s="16">
        <f t="shared" si="2"/>
        <v>95.21142857</v>
      </c>
    </row>
    <row r="372" ht="15.75" customHeight="1">
      <c r="A372" s="9" t="s">
        <v>414</v>
      </c>
      <c r="B372" s="10" t="s">
        <v>25</v>
      </c>
      <c r="C372" s="11">
        <v>46130.0</v>
      </c>
      <c r="D372" s="11">
        <v>46189.0</v>
      </c>
      <c r="E372" s="10" t="s">
        <v>16</v>
      </c>
      <c r="F372" s="12">
        <v>39175.0</v>
      </c>
      <c r="G372" s="13">
        <v>2479.0</v>
      </c>
      <c r="H372" s="13">
        <v>272.0</v>
      </c>
      <c r="I372" s="14">
        <v>29295.47</v>
      </c>
      <c r="J372" s="13">
        <v>36403.0</v>
      </c>
      <c r="K372" s="13">
        <v>982881.0</v>
      </c>
      <c r="L372" s="10" t="s">
        <v>17</v>
      </c>
      <c r="M372" s="15">
        <f t="shared" si="1"/>
        <v>-0.2521896618</v>
      </c>
      <c r="N372" s="16">
        <f t="shared" si="2"/>
        <v>144.0257353</v>
      </c>
    </row>
    <row r="373" ht="15.75" customHeight="1">
      <c r="A373" s="9" t="s">
        <v>415</v>
      </c>
      <c r="B373" s="10" t="s">
        <v>52</v>
      </c>
      <c r="C373" s="11">
        <v>45873.0</v>
      </c>
      <c r="D373" s="11">
        <v>45920.0</v>
      </c>
      <c r="E373" s="10" t="s">
        <v>35</v>
      </c>
      <c r="F373" s="12">
        <v>2579.0</v>
      </c>
      <c r="G373" s="13">
        <v>159.0</v>
      </c>
      <c r="H373" s="13">
        <v>44.0</v>
      </c>
      <c r="I373" s="14">
        <v>2890.51</v>
      </c>
      <c r="J373" s="13">
        <v>8773.0</v>
      </c>
      <c r="K373" s="13">
        <v>114049.0</v>
      </c>
      <c r="L373" s="10" t="s">
        <v>17</v>
      </c>
      <c r="M373" s="15">
        <f t="shared" si="1"/>
        <v>0.1207871268</v>
      </c>
      <c r="N373" s="16">
        <f t="shared" si="2"/>
        <v>58.61363636</v>
      </c>
    </row>
    <row r="374" ht="15.75" customHeight="1">
      <c r="A374" s="9" t="s">
        <v>416</v>
      </c>
      <c r="B374" s="10" t="s">
        <v>58</v>
      </c>
      <c r="C374" s="11">
        <v>46184.0</v>
      </c>
      <c r="D374" s="11">
        <v>46234.0</v>
      </c>
      <c r="E374" s="10" t="s">
        <v>16</v>
      </c>
      <c r="F374" s="12">
        <v>37271.0</v>
      </c>
      <c r="G374" s="13">
        <v>2106.0</v>
      </c>
      <c r="H374" s="13">
        <v>209.0</v>
      </c>
      <c r="I374" s="14">
        <v>20850.24</v>
      </c>
      <c r="J374" s="13">
        <v>29913.0</v>
      </c>
      <c r="K374" s="13">
        <v>687999.0</v>
      </c>
      <c r="L374" s="10" t="s">
        <v>17</v>
      </c>
      <c r="M374" s="15">
        <f t="shared" si="1"/>
        <v>-0.4405773926</v>
      </c>
      <c r="N374" s="16">
        <f t="shared" si="2"/>
        <v>178.3301435</v>
      </c>
    </row>
    <row r="375" ht="15.75" customHeight="1">
      <c r="A375" s="9" t="s">
        <v>417</v>
      </c>
      <c r="B375" s="10" t="s">
        <v>28</v>
      </c>
      <c r="C375" s="11">
        <v>46064.0</v>
      </c>
      <c r="D375" s="11">
        <v>46089.0</v>
      </c>
      <c r="E375" s="10" t="s">
        <v>26</v>
      </c>
      <c r="F375" s="12">
        <v>8330.0</v>
      </c>
      <c r="G375" s="13">
        <v>562.0</v>
      </c>
      <c r="H375" s="13">
        <v>18.0</v>
      </c>
      <c r="I375" s="14">
        <v>1610.32</v>
      </c>
      <c r="J375" s="13">
        <v>25977.0</v>
      </c>
      <c r="K375" s="13">
        <v>285747.0</v>
      </c>
      <c r="L375" s="10" t="s">
        <v>17</v>
      </c>
      <c r="M375" s="15">
        <f t="shared" si="1"/>
        <v>-0.8066842737</v>
      </c>
      <c r="N375" s="16">
        <f t="shared" si="2"/>
        <v>462.7777778</v>
      </c>
    </row>
    <row r="376" ht="15.75" customHeight="1">
      <c r="A376" s="9" t="s">
        <v>418</v>
      </c>
      <c r="B376" s="10" t="s">
        <v>62</v>
      </c>
      <c r="C376" s="11">
        <v>46032.0</v>
      </c>
      <c r="D376" s="11">
        <v>46084.0</v>
      </c>
      <c r="E376" s="10" t="s">
        <v>26</v>
      </c>
      <c r="F376" s="12">
        <v>9110.0</v>
      </c>
      <c r="G376" s="13">
        <v>1165.0</v>
      </c>
      <c r="H376" s="13">
        <v>88.0</v>
      </c>
      <c r="I376" s="14">
        <v>5427.06</v>
      </c>
      <c r="J376" s="13">
        <v>17359.0</v>
      </c>
      <c r="K376" s="13">
        <v>260385.0</v>
      </c>
      <c r="L376" s="10" t="s">
        <v>17</v>
      </c>
      <c r="M376" s="15">
        <f t="shared" si="1"/>
        <v>-0.4042744237</v>
      </c>
      <c r="N376" s="16">
        <f t="shared" si="2"/>
        <v>103.5227273</v>
      </c>
    </row>
    <row r="377" ht="15.75" customHeight="1">
      <c r="A377" s="9" t="s">
        <v>419</v>
      </c>
      <c r="B377" s="10" t="s">
        <v>75</v>
      </c>
      <c r="C377" s="11">
        <v>45924.0</v>
      </c>
      <c r="D377" s="11">
        <v>45929.0</v>
      </c>
      <c r="E377" s="10" t="s">
        <v>26</v>
      </c>
      <c r="F377" s="12">
        <v>16121.0</v>
      </c>
      <c r="G377" s="13">
        <v>1759.0</v>
      </c>
      <c r="H377" s="13">
        <v>89.0</v>
      </c>
      <c r="I377" s="14">
        <v>14363.88</v>
      </c>
      <c r="J377" s="13">
        <v>20422.0</v>
      </c>
      <c r="K377" s="13">
        <v>224642.0</v>
      </c>
      <c r="L377" s="10" t="s">
        <v>17</v>
      </c>
      <c r="M377" s="15">
        <f t="shared" si="1"/>
        <v>-0.1089957199</v>
      </c>
      <c r="N377" s="16">
        <f t="shared" si="2"/>
        <v>181.1348315</v>
      </c>
    </row>
    <row r="378" ht="15.75" customHeight="1">
      <c r="A378" s="9" t="s">
        <v>420</v>
      </c>
      <c r="B378" s="10" t="s">
        <v>47</v>
      </c>
      <c r="C378" s="11">
        <v>45947.0</v>
      </c>
      <c r="D378" s="11">
        <v>45979.0</v>
      </c>
      <c r="E378" s="10" t="s">
        <v>26</v>
      </c>
      <c r="F378" s="12">
        <v>9712.0</v>
      </c>
      <c r="G378" s="13">
        <v>674.0</v>
      </c>
      <c r="H378" s="13">
        <v>16.0</v>
      </c>
      <c r="I378" s="14">
        <v>1558.92</v>
      </c>
      <c r="J378" s="13">
        <v>12308.0</v>
      </c>
      <c r="K378" s="13">
        <v>135388.0</v>
      </c>
      <c r="L378" s="10" t="s">
        <v>17</v>
      </c>
      <c r="M378" s="15">
        <f t="shared" si="1"/>
        <v>-0.839485173</v>
      </c>
      <c r="N378" s="16">
        <f t="shared" si="2"/>
        <v>607</v>
      </c>
    </row>
    <row r="379" ht="15.75" customHeight="1">
      <c r="A379" s="9" t="s">
        <v>421</v>
      </c>
      <c r="B379" s="10" t="s">
        <v>47</v>
      </c>
      <c r="C379" s="11">
        <v>45887.0</v>
      </c>
      <c r="D379" s="11">
        <v>45928.0</v>
      </c>
      <c r="E379" s="10" t="s">
        <v>26</v>
      </c>
      <c r="F379" s="12">
        <v>13128.0</v>
      </c>
      <c r="G379" s="13">
        <v>884.0</v>
      </c>
      <c r="H379" s="13">
        <v>69.0</v>
      </c>
      <c r="I379" s="14">
        <v>15707.99</v>
      </c>
      <c r="J379" s="13">
        <v>18289.0</v>
      </c>
      <c r="K379" s="13">
        <v>530381.0</v>
      </c>
      <c r="L379" s="10" t="s">
        <v>17</v>
      </c>
      <c r="M379" s="15">
        <f t="shared" si="1"/>
        <v>0.1965257465</v>
      </c>
      <c r="N379" s="16">
        <f t="shared" si="2"/>
        <v>190.2608696</v>
      </c>
    </row>
    <row r="380" ht="15.75" customHeight="1">
      <c r="A380" s="9" t="s">
        <v>422</v>
      </c>
      <c r="B380" s="10" t="s">
        <v>15</v>
      </c>
      <c r="C380" s="11">
        <v>46100.0</v>
      </c>
      <c r="D380" s="11">
        <v>46143.0</v>
      </c>
      <c r="E380" s="10" t="s">
        <v>16</v>
      </c>
      <c r="F380" s="12">
        <v>55615.0</v>
      </c>
      <c r="G380" s="13">
        <v>2806.0</v>
      </c>
      <c r="H380" s="13">
        <v>225.0</v>
      </c>
      <c r="I380" s="14">
        <v>20353.35</v>
      </c>
      <c r="J380" s="13">
        <v>51141.0</v>
      </c>
      <c r="K380" s="13">
        <v>1380807.0</v>
      </c>
      <c r="L380" s="10" t="s">
        <v>17</v>
      </c>
      <c r="M380" s="15">
        <f t="shared" si="1"/>
        <v>-0.6340312865</v>
      </c>
      <c r="N380" s="16">
        <f t="shared" si="2"/>
        <v>247.1777778</v>
      </c>
    </row>
    <row r="381" ht="15.75" customHeight="1">
      <c r="A381" s="9" t="s">
        <v>423</v>
      </c>
      <c r="B381" s="10" t="s">
        <v>52</v>
      </c>
      <c r="C381" s="11">
        <v>46008.0</v>
      </c>
      <c r="D381" s="11">
        <v>46032.0</v>
      </c>
      <c r="E381" s="10" t="s">
        <v>26</v>
      </c>
      <c r="F381" s="12">
        <v>10438.0</v>
      </c>
      <c r="G381" s="13">
        <v>558.0</v>
      </c>
      <c r="H381" s="13">
        <v>18.0</v>
      </c>
      <c r="I381" s="14">
        <v>4271.48</v>
      </c>
      <c r="J381" s="13">
        <v>31397.0</v>
      </c>
      <c r="K381" s="13">
        <v>408161.0</v>
      </c>
      <c r="L381" s="10" t="s">
        <v>17</v>
      </c>
      <c r="M381" s="15">
        <f t="shared" si="1"/>
        <v>-0.5907760107</v>
      </c>
      <c r="N381" s="16">
        <f t="shared" si="2"/>
        <v>579.8888889</v>
      </c>
    </row>
    <row r="382" ht="15.75" customHeight="1">
      <c r="A382" s="9" t="s">
        <v>424</v>
      </c>
      <c r="B382" s="10" t="s">
        <v>58</v>
      </c>
      <c r="C382" s="11">
        <v>45964.0</v>
      </c>
      <c r="D382" s="11">
        <v>45994.0</v>
      </c>
      <c r="E382" s="10" t="s">
        <v>35</v>
      </c>
      <c r="F382" s="12">
        <v>2245.0</v>
      </c>
      <c r="G382" s="13">
        <v>169.0</v>
      </c>
      <c r="H382" s="13">
        <v>37.0</v>
      </c>
      <c r="I382" s="14">
        <v>7273.23</v>
      </c>
      <c r="J382" s="13">
        <v>8766.0</v>
      </c>
      <c r="K382" s="13">
        <v>175320.0</v>
      </c>
      <c r="L382" s="10" t="s">
        <v>17</v>
      </c>
      <c r="M382" s="15">
        <f t="shared" si="1"/>
        <v>2.239746102</v>
      </c>
      <c r="N382" s="16">
        <f t="shared" si="2"/>
        <v>60.67567568</v>
      </c>
    </row>
    <row r="383" ht="15.75" customHeight="1">
      <c r="A383" s="9" t="s">
        <v>425</v>
      </c>
      <c r="B383" s="10" t="s">
        <v>47</v>
      </c>
      <c r="C383" s="11">
        <v>45918.0</v>
      </c>
      <c r="D383" s="11">
        <v>45973.0</v>
      </c>
      <c r="E383" s="10" t="s">
        <v>16</v>
      </c>
      <c r="F383" s="12">
        <v>59006.0</v>
      </c>
      <c r="G383" s="13">
        <v>5444.0</v>
      </c>
      <c r="H383" s="13">
        <v>613.0</v>
      </c>
      <c r="I383" s="14">
        <v>42193.94</v>
      </c>
      <c r="J383" s="13">
        <v>46758.0</v>
      </c>
      <c r="K383" s="13">
        <v>935160.0</v>
      </c>
      <c r="L383" s="10" t="s">
        <v>17</v>
      </c>
      <c r="M383" s="15">
        <f t="shared" si="1"/>
        <v>-0.2849211945</v>
      </c>
      <c r="N383" s="16">
        <f t="shared" si="2"/>
        <v>96.25774878</v>
      </c>
    </row>
    <row r="384" ht="15.75" customHeight="1">
      <c r="A384" s="9" t="s">
        <v>426</v>
      </c>
      <c r="B384" s="10" t="s">
        <v>52</v>
      </c>
      <c r="C384" s="11">
        <v>46009.0</v>
      </c>
      <c r="D384" s="11">
        <v>46020.0</v>
      </c>
      <c r="E384" s="10" t="s">
        <v>16</v>
      </c>
      <c r="F384" s="12">
        <v>53849.0</v>
      </c>
      <c r="G384" s="13">
        <v>7655.0</v>
      </c>
      <c r="H384" s="13">
        <v>849.0</v>
      </c>
      <c r="I384" s="14">
        <v>42011.43</v>
      </c>
      <c r="J384" s="13">
        <v>82246.0</v>
      </c>
      <c r="K384" s="13">
        <v>1562674.0</v>
      </c>
      <c r="L384" s="10" t="s">
        <v>17</v>
      </c>
      <c r="M384" s="15">
        <f t="shared" si="1"/>
        <v>-0.2198289662</v>
      </c>
      <c r="N384" s="16">
        <f t="shared" si="2"/>
        <v>63.42638398</v>
      </c>
    </row>
    <row r="385" ht="15.75" customHeight="1">
      <c r="A385" s="9" t="s">
        <v>427</v>
      </c>
      <c r="B385" s="10" t="s">
        <v>58</v>
      </c>
      <c r="C385" s="11">
        <v>45858.0</v>
      </c>
      <c r="D385" s="11">
        <v>45868.0</v>
      </c>
      <c r="E385" s="10" t="s">
        <v>16</v>
      </c>
      <c r="F385" s="12">
        <v>32219.0</v>
      </c>
      <c r="G385" s="13">
        <v>1987.0</v>
      </c>
      <c r="H385" s="13">
        <v>340.0</v>
      </c>
      <c r="I385" s="14">
        <v>78057.53</v>
      </c>
      <c r="J385" s="13">
        <v>48642.0</v>
      </c>
      <c r="K385" s="13">
        <v>924198.0</v>
      </c>
      <c r="L385" s="10" t="s">
        <v>17</v>
      </c>
      <c r="M385" s="15">
        <f t="shared" si="1"/>
        <v>1.422717341</v>
      </c>
      <c r="N385" s="16">
        <f t="shared" si="2"/>
        <v>94.76176471</v>
      </c>
    </row>
    <row r="386" ht="15.75" customHeight="1">
      <c r="A386" s="9" t="s">
        <v>428</v>
      </c>
      <c r="B386" s="10" t="s">
        <v>62</v>
      </c>
      <c r="C386" s="11">
        <v>46083.0</v>
      </c>
      <c r="D386" s="11">
        <v>46088.0</v>
      </c>
      <c r="E386" s="10" t="s">
        <v>26</v>
      </c>
      <c r="F386" s="12">
        <v>14342.0</v>
      </c>
      <c r="G386" s="13">
        <v>946.0</v>
      </c>
      <c r="H386" s="13">
        <v>54.0</v>
      </c>
      <c r="I386" s="14">
        <v>8003.23</v>
      </c>
      <c r="J386" s="13">
        <v>20318.0</v>
      </c>
      <c r="K386" s="13">
        <v>589222.0</v>
      </c>
      <c r="L386" s="10" t="s">
        <v>17</v>
      </c>
      <c r="M386" s="15">
        <f t="shared" si="1"/>
        <v>-0.4419725282</v>
      </c>
      <c r="N386" s="16">
        <f t="shared" si="2"/>
        <v>265.5925926</v>
      </c>
    </row>
    <row r="387" ht="15.75" customHeight="1">
      <c r="A387" s="9" t="s">
        <v>429</v>
      </c>
      <c r="B387" s="10" t="s">
        <v>52</v>
      </c>
      <c r="C387" s="11">
        <v>46035.0</v>
      </c>
      <c r="D387" s="11">
        <v>46063.0</v>
      </c>
      <c r="E387" s="10" t="s">
        <v>35</v>
      </c>
      <c r="F387" s="12">
        <v>1458.0</v>
      </c>
      <c r="G387" s="13">
        <v>135.0</v>
      </c>
      <c r="H387" s="13">
        <v>27.0</v>
      </c>
      <c r="I387" s="14">
        <v>4792.98</v>
      </c>
      <c r="J387" s="13">
        <v>6747.0</v>
      </c>
      <c r="K387" s="13">
        <v>114699.0</v>
      </c>
      <c r="L387" s="10" t="s">
        <v>17</v>
      </c>
      <c r="M387" s="15">
        <f t="shared" si="1"/>
        <v>2.287366255</v>
      </c>
      <c r="N387" s="16">
        <f t="shared" si="2"/>
        <v>54</v>
      </c>
    </row>
    <row r="388" ht="15.75" customHeight="1">
      <c r="A388" s="9" t="s">
        <v>430</v>
      </c>
      <c r="B388" s="10" t="s">
        <v>25</v>
      </c>
      <c r="C388" s="11">
        <v>46132.0</v>
      </c>
      <c r="D388" s="11">
        <v>46184.0</v>
      </c>
      <c r="E388" s="10" t="s">
        <v>26</v>
      </c>
      <c r="F388" s="12">
        <v>13785.0</v>
      </c>
      <c r="G388" s="13">
        <v>1874.0</v>
      </c>
      <c r="H388" s="13">
        <v>129.0</v>
      </c>
      <c r="I388" s="14">
        <v>8859.41</v>
      </c>
      <c r="J388" s="13">
        <v>29875.0</v>
      </c>
      <c r="K388" s="13">
        <v>627375.0</v>
      </c>
      <c r="L388" s="10" t="s">
        <v>17</v>
      </c>
      <c r="M388" s="15">
        <f t="shared" si="1"/>
        <v>-0.3573151977</v>
      </c>
      <c r="N388" s="16">
        <f t="shared" si="2"/>
        <v>106.8604651</v>
      </c>
    </row>
    <row r="389" ht="15.75" customHeight="1">
      <c r="A389" s="9" t="s">
        <v>431</v>
      </c>
      <c r="B389" s="10" t="s">
        <v>47</v>
      </c>
      <c r="C389" s="11">
        <v>45934.0</v>
      </c>
      <c r="D389" s="11">
        <v>45982.0</v>
      </c>
      <c r="E389" s="10" t="s">
        <v>26</v>
      </c>
      <c r="F389" s="12">
        <v>6901.0</v>
      </c>
      <c r="G389" s="13">
        <v>359.0</v>
      </c>
      <c r="H389" s="13">
        <v>11.0</v>
      </c>
      <c r="I389" s="14">
        <v>1502.42</v>
      </c>
      <c r="J389" s="13">
        <v>16865.0</v>
      </c>
      <c r="K389" s="13">
        <v>269840.0</v>
      </c>
      <c r="L389" s="10" t="s">
        <v>17</v>
      </c>
      <c r="M389" s="15">
        <f t="shared" si="1"/>
        <v>-0.7822895233</v>
      </c>
      <c r="N389" s="16">
        <f t="shared" si="2"/>
        <v>627.3636364</v>
      </c>
    </row>
    <row r="390" ht="15.75" customHeight="1">
      <c r="A390" s="9" t="s">
        <v>432</v>
      </c>
      <c r="B390" s="10" t="s">
        <v>62</v>
      </c>
      <c r="C390" s="11">
        <v>46106.0</v>
      </c>
      <c r="D390" s="11">
        <v>46159.0</v>
      </c>
      <c r="E390" s="10" t="s">
        <v>26</v>
      </c>
      <c r="F390" s="12">
        <v>2737.0</v>
      </c>
      <c r="G390" s="13">
        <v>141.0</v>
      </c>
      <c r="H390" s="13">
        <v>5.0</v>
      </c>
      <c r="I390" s="14">
        <v>2464.65</v>
      </c>
      <c r="J390" s="13">
        <v>4471.0</v>
      </c>
      <c r="K390" s="13">
        <v>80478.0</v>
      </c>
      <c r="L390" s="10" t="s">
        <v>17</v>
      </c>
      <c r="M390" s="15">
        <f t="shared" si="1"/>
        <v>-0.09950675923</v>
      </c>
      <c r="N390" s="16">
        <f t="shared" si="2"/>
        <v>547.4</v>
      </c>
    </row>
    <row r="391" ht="15.75" customHeight="1">
      <c r="A391" s="9" t="s">
        <v>433</v>
      </c>
      <c r="B391" s="10" t="s">
        <v>58</v>
      </c>
      <c r="C391" s="11">
        <v>46155.0</v>
      </c>
      <c r="D391" s="11">
        <v>46201.0</v>
      </c>
      <c r="E391" s="10" t="s">
        <v>26</v>
      </c>
      <c r="F391" s="12">
        <v>24090.0</v>
      </c>
      <c r="G391" s="13">
        <v>1654.0</v>
      </c>
      <c r="H391" s="13">
        <v>119.0</v>
      </c>
      <c r="I391" s="14">
        <v>5911.62</v>
      </c>
      <c r="J391" s="13">
        <v>39560.0</v>
      </c>
      <c r="K391" s="13">
        <v>712080.0</v>
      </c>
      <c r="L391" s="10" t="s">
        <v>17</v>
      </c>
      <c r="M391" s="15">
        <f t="shared" si="1"/>
        <v>-0.7546027397</v>
      </c>
      <c r="N391" s="16">
        <f t="shared" si="2"/>
        <v>202.4369748</v>
      </c>
    </row>
    <row r="392" ht="15.75" customHeight="1">
      <c r="A392" s="9" t="s">
        <v>434</v>
      </c>
      <c r="B392" s="10" t="s">
        <v>28</v>
      </c>
      <c r="C392" s="11">
        <v>45880.0</v>
      </c>
      <c r="D392" s="11">
        <v>45905.0</v>
      </c>
      <c r="E392" s="10" t="s">
        <v>16</v>
      </c>
      <c r="F392" s="12">
        <v>35043.0</v>
      </c>
      <c r="G392" s="13">
        <v>3016.0</v>
      </c>
      <c r="H392" s="13">
        <v>518.0</v>
      </c>
      <c r="I392" s="14">
        <v>88319.9</v>
      </c>
      <c r="J392" s="13">
        <v>24310.0</v>
      </c>
      <c r="K392" s="13">
        <v>583440.0</v>
      </c>
      <c r="L392" s="10" t="s">
        <v>17</v>
      </c>
      <c r="M392" s="15">
        <f t="shared" si="1"/>
        <v>1.52032931</v>
      </c>
      <c r="N392" s="16">
        <f t="shared" si="2"/>
        <v>67.65057915</v>
      </c>
    </row>
    <row r="393" ht="15.75" customHeight="1">
      <c r="A393" s="9" t="s">
        <v>435</v>
      </c>
      <c r="B393" s="10" t="s">
        <v>28</v>
      </c>
      <c r="C393" s="11">
        <v>45883.0</v>
      </c>
      <c r="D393" s="11">
        <v>45905.0</v>
      </c>
      <c r="E393" s="10" t="s">
        <v>26</v>
      </c>
      <c r="F393" s="12">
        <v>24554.0</v>
      </c>
      <c r="G393" s="13">
        <v>2140.0</v>
      </c>
      <c r="H393" s="13">
        <v>170.0</v>
      </c>
      <c r="I393" s="14">
        <v>38910.89</v>
      </c>
      <c r="J393" s="13">
        <v>27516.0</v>
      </c>
      <c r="K393" s="13">
        <v>797964.0</v>
      </c>
      <c r="L393" s="10" t="s">
        <v>17</v>
      </c>
      <c r="M393" s="15">
        <f t="shared" si="1"/>
        <v>0.5847067688</v>
      </c>
      <c r="N393" s="16">
        <f t="shared" si="2"/>
        <v>144.4352941</v>
      </c>
    </row>
    <row r="394" ht="15.75" customHeight="1">
      <c r="A394" s="9" t="s">
        <v>436</v>
      </c>
      <c r="B394" s="10" t="s">
        <v>47</v>
      </c>
      <c r="C394" s="11">
        <v>46006.0</v>
      </c>
      <c r="D394" s="11">
        <v>46066.0</v>
      </c>
      <c r="E394" s="10" t="s">
        <v>26</v>
      </c>
      <c r="F394" s="12">
        <v>15066.0</v>
      </c>
      <c r="G394" s="13">
        <v>1854.0</v>
      </c>
      <c r="H394" s="13">
        <v>122.0</v>
      </c>
      <c r="I394" s="14">
        <v>17629.96</v>
      </c>
      <c r="J394" s="13">
        <v>34856.0</v>
      </c>
      <c r="K394" s="13">
        <v>348560.0</v>
      </c>
      <c r="L394" s="10" t="s">
        <v>17</v>
      </c>
      <c r="M394" s="15">
        <f t="shared" si="1"/>
        <v>0.1701818665</v>
      </c>
      <c r="N394" s="16">
        <f t="shared" si="2"/>
        <v>123.4918033</v>
      </c>
    </row>
    <row r="395" ht="15.75" customHeight="1">
      <c r="A395" s="9" t="s">
        <v>437</v>
      </c>
      <c r="B395" s="10" t="s">
        <v>47</v>
      </c>
      <c r="C395" s="11">
        <v>46146.0</v>
      </c>
      <c r="D395" s="11">
        <v>46153.0</v>
      </c>
      <c r="E395" s="10" t="s">
        <v>35</v>
      </c>
      <c r="F395" s="12">
        <v>3611.0</v>
      </c>
      <c r="G395" s="13">
        <v>228.0</v>
      </c>
      <c r="H395" s="13">
        <v>39.0</v>
      </c>
      <c r="I395" s="14">
        <v>4600.98</v>
      </c>
      <c r="J395" s="13">
        <v>9002.0</v>
      </c>
      <c r="K395" s="13">
        <v>99022.0</v>
      </c>
      <c r="L395" s="10" t="s">
        <v>17</v>
      </c>
      <c r="M395" s="15">
        <f t="shared" si="1"/>
        <v>0.2741567433</v>
      </c>
      <c r="N395" s="16">
        <f t="shared" si="2"/>
        <v>92.58974359</v>
      </c>
    </row>
    <row r="396" ht="15.75" customHeight="1">
      <c r="A396" s="9" t="s">
        <v>438</v>
      </c>
      <c r="B396" s="10" t="s">
        <v>58</v>
      </c>
      <c r="C396" s="11">
        <v>45903.0</v>
      </c>
      <c r="D396" s="11">
        <v>45939.0</v>
      </c>
      <c r="E396" s="10" t="s">
        <v>35</v>
      </c>
      <c r="F396" s="12">
        <v>2619.0</v>
      </c>
      <c r="G396" s="13">
        <v>148.0</v>
      </c>
      <c r="H396" s="13">
        <v>17.0</v>
      </c>
      <c r="I396" s="14">
        <v>1890.34</v>
      </c>
      <c r="J396" s="13">
        <v>17093.0</v>
      </c>
      <c r="K396" s="13">
        <v>290581.0</v>
      </c>
      <c r="L396" s="10" t="s">
        <v>17</v>
      </c>
      <c r="M396" s="15">
        <f t="shared" si="1"/>
        <v>-0.2782206949</v>
      </c>
      <c r="N396" s="16">
        <f t="shared" si="2"/>
        <v>154.0588235</v>
      </c>
    </row>
    <row r="397" ht="15.75" customHeight="1">
      <c r="A397" s="9" t="s">
        <v>439</v>
      </c>
      <c r="B397" s="10" t="s">
        <v>15</v>
      </c>
      <c r="C397" s="11">
        <v>46002.0</v>
      </c>
      <c r="D397" s="11">
        <v>46024.0</v>
      </c>
      <c r="E397" s="10" t="s">
        <v>26</v>
      </c>
      <c r="F397" s="12">
        <v>18961.0</v>
      </c>
      <c r="G397" s="13">
        <v>950.0</v>
      </c>
      <c r="H397" s="13">
        <v>75.0</v>
      </c>
      <c r="I397" s="14">
        <v>12645.17</v>
      </c>
      <c r="J397" s="13">
        <v>50687.0</v>
      </c>
      <c r="K397" s="13">
        <v>912366.0</v>
      </c>
      <c r="L397" s="10" t="s">
        <v>17</v>
      </c>
      <c r="M397" s="15">
        <f t="shared" si="1"/>
        <v>-0.3330958283</v>
      </c>
      <c r="N397" s="16">
        <f t="shared" si="2"/>
        <v>252.8133333</v>
      </c>
    </row>
    <row r="398" ht="15.75" customHeight="1">
      <c r="A398" s="9" t="s">
        <v>440</v>
      </c>
      <c r="B398" s="10" t="s">
        <v>30</v>
      </c>
      <c r="C398" s="11">
        <v>45865.0</v>
      </c>
      <c r="D398" s="11">
        <v>45923.0</v>
      </c>
      <c r="E398" s="10" t="s">
        <v>35</v>
      </c>
      <c r="F398" s="12">
        <v>2266.0</v>
      </c>
      <c r="G398" s="13">
        <v>257.0</v>
      </c>
      <c r="H398" s="13">
        <v>69.0</v>
      </c>
      <c r="I398" s="14">
        <v>40474.19</v>
      </c>
      <c r="J398" s="13">
        <v>5600.0</v>
      </c>
      <c r="K398" s="13">
        <v>106400.0</v>
      </c>
      <c r="L398" s="10" t="s">
        <v>17</v>
      </c>
      <c r="M398" s="15">
        <f t="shared" si="1"/>
        <v>16.86151368</v>
      </c>
      <c r="N398" s="16">
        <f t="shared" si="2"/>
        <v>32.84057971</v>
      </c>
    </row>
    <row r="399" ht="15.75" customHeight="1">
      <c r="A399" s="9" t="s">
        <v>441</v>
      </c>
      <c r="B399" s="10" t="s">
        <v>15</v>
      </c>
      <c r="C399" s="11">
        <v>45938.0</v>
      </c>
      <c r="D399" s="11">
        <v>45985.0</v>
      </c>
      <c r="E399" s="10" t="s">
        <v>26</v>
      </c>
      <c r="F399" s="12">
        <v>20457.0</v>
      </c>
      <c r="G399" s="13">
        <v>1275.0</v>
      </c>
      <c r="H399" s="13">
        <v>55.0</v>
      </c>
      <c r="I399" s="14">
        <v>8837.64</v>
      </c>
      <c r="J399" s="13">
        <v>54041.0</v>
      </c>
      <c r="K399" s="13">
        <v>648492.0</v>
      </c>
      <c r="L399" s="10" t="s">
        <v>17</v>
      </c>
      <c r="M399" s="15">
        <f t="shared" si="1"/>
        <v>-0.5679894413</v>
      </c>
      <c r="N399" s="16">
        <f t="shared" si="2"/>
        <v>371.9454545</v>
      </c>
    </row>
    <row r="400" ht="15.75" customHeight="1">
      <c r="A400" s="9" t="s">
        <v>442</v>
      </c>
      <c r="B400" s="10" t="s">
        <v>28</v>
      </c>
      <c r="C400" s="11">
        <v>45939.0</v>
      </c>
      <c r="D400" s="11">
        <v>45989.0</v>
      </c>
      <c r="E400" s="10" t="s">
        <v>26</v>
      </c>
      <c r="F400" s="12">
        <v>23839.0</v>
      </c>
      <c r="G400" s="13">
        <v>1804.0</v>
      </c>
      <c r="H400" s="13">
        <v>37.0</v>
      </c>
      <c r="I400" s="14">
        <v>6947.3</v>
      </c>
      <c r="J400" s="13">
        <v>32408.0</v>
      </c>
      <c r="K400" s="13">
        <v>291672.0</v>
      </c>
      <c r="L400" s="10" t="s">
        <v>17</v>
      </c>
      <c r="M400" s="15">
        <f t="shared" si="1"/>
        <v>-0.7085741852</v>
      </c>
      <c r="N400" s="16">
        <f t="shared" si="2"/>
        <v>644.2972973</v>
      </c>
    </row>
    <row r="401" ht="15.75" customHeight="1">
      <c r="A401" s="9" t="s">
        <v>443</v>
      </c>
      <c r="B401" s="10" t="s">
        <v>62</v>
      </c>
      <c r="C401" s="11">
        <v>46102.0</v>
      </c>
      <c r="D401" s="11">
        <v>46146.0</v>
      </c>
      <c r="E401" s="10" t="s">
        <v>26</v>
      </c>
      <c r="F401" s="12">
        <v>13591.0</v>
      </c>
      <c r="G401" s="13">
        <v>968.0</v>
      </c>
      <c r="H401" s="13">
        <v>53.0</v>
      </c>
      <c r="I401" s="14">
        <v>5386.48</v>
      </c>
      <c r="J401" s="13">
        <v>15412.0</v>
      </c>
      <c r="K401" s="13">
        <v>431536.0</v>
      </c>
      <c r="L401" s="10" t="s">
        <v>17</v>
      </c>
      <c r="M401" s="15">
        <f t="shared" si="1"/>
        <v>-0.6036730189</v>
      </c>
      <c r="N401" s="16">
        <f t="shared" si="2"/>
        <v>256.4339623</v>
      </c>
    </row>
    <row r="402" ht="15.75" customHeight="1">
      <c r="A402" s="9" t="s">
        <v>444</v>
      </c>
      <c r="B402" s="10" t="s">
        <v>19</v>
      </c>
      <c r="C402" s="11">
        <v>46142.0</v>
      </c>
      <c r="D402" s="11">
        <v>46156.0</v>
      </c>
      <c r="E402" s="10" t="s">
        <v>26</v>
      </c>
      <c r="F402" s="12">
        <v>15081.0</v>
      </c>
      <c r="G402" s="13">
        <v>1378.0</v>
      </c>
      <c r="H402" s="13">
        <v>67.0</v>
      </c>
      <c r="I402" s="14">
        <v>5757.82</v>
      </c>
      <c r="J402" s="13">
        <v>21959.0</v>
      </c>
      <c r="K402" s="13">
        <v>175672.0</v>
      </c>
      <c r="L402" s="10" t="s">
        <v>17</v>
      </c>
      <c r="M402" s="15">
        <f t="shared" si="1"/>
        <v>-0.6182070154</v>
      </c>
      <c r="N402" s="16">
        <f t="shared" si="2"/>
        <v>225.0895522</v>
      </c>
    </row>
    <row r="403" ht="15.75" customHeight="1">
      <c r="A403" s="9" t="s">
        <v>445</v>
      </c>
      <c r="B403" s="10" t="s">
        <v>25</v>
      </c>
      <c r="C403" s="11">
        <v>46104.0</v>
      </c>
      <c r="D403" s="11">
        <v>46160.0</v>
      </c>
      <c r="E403" s="10" t="s">
        <v>16</v>
      </c>
      <c r="F403" s="12">
        <v>45320.0</v>
      </c>
      <c r="G403" s="13">
        <v>3141.0</v>
      </c>
      <c r="H403" s="13">
        <v>377.0</v>
      </c>
      <c r="I403" s="14">
        <v>61426.44</v>
      </c>
      <c r="J403" s="13">
        <v>34363.0</v>
      </c>
      <c r="K403" s="13">
        <v>274904.0</v>
      </c>
      <c r="L403" s="10" t="s">
        <v>17</v>
      </c>
      <c r="M403" s="15">
        <f t="shared" si="1"/>
        <v>0.3553936452</v>
      </c>
      <c r="N403" s="16">
        <f t="shared" si="2"/>
        <v>120.2122016</v>
      </c>
    </row>
    <row r="404" ht="15.75" customHeight="1">
      <c r="A404" s="9" t="s">
        <v>446</v>
      </c>
      <c r="B404" s="10" t="s">
        <v>30</v>
      </c>
      <c r="C404" s="11">
        <v>46173.0</v>
      </c>
      <c r="D404" s="11">
        <v>46186.0</v>
      </c>
      <c r="E404" s="10" t="s">
        <v>16</v>
      </c>
      <c r="F404" s="12">
        <v>12755.0</v>
      </c>
      <c r="G404" s="13">
        <v>2797.0</v>
      </c>
      <c r="H404" s="13">
        <v>344.0</v>
      </c>
      <c r="I404" s="14">
        <v>74786.92</v>
      </c>
      <c r="J404" s="13">
        <v>9438.0</v>
      </c>
      <c r="K404" s="13">
        <v>75504.0</v>
      </c>
      <c r="L404" s="10" t="s">
        <v>17</v>
      </c>
      <c r="M404" s="15">
        <f t="shared" si="1"/>
        <v>4.863341435</v>
      </c>
      <c r="N404" s="16">
        <f t="shared" si="2"/>
        <v>37.07848837</v>
      </c>
    </row>
    <row r="405" ht="15.75" customHeight="1">
      <c r="A405" s="9" t="s">
        <v>447</v>
      </c>
      <c r="B405" s="10" t="s">
        <v>25</v>
      </c>
      <c r="C405" s="11">
        <v>46066.0</v>
      </c>
      <c r="D405" s="11">
        <v>46077.0</v>
      </c>
      <c r="E405" s="10" t="s">
        <v>35</v>
      </c>
      <c r="F405" s="12">
        <v>4817.0</v>
      </c>
      <c r="G405" s="13">
        <v>243.0</v>
      </c>
      <c r="H405" s="13">
        <v>58.0</v>
      </c>
      <c r="I405" s="14">
        <v>6347.29</v>
      </c>
      <c r="J405" s="13">
        <v>14468.0</v>
      </c>
      <c r="K405" s="13">
        <v>202552.0</v>
      </c>
      <c r="L405" s="10" t="s">
        <v>17</v>
      </c>
      <c r="M405" s="15">
        <f t="shared" si="1"/>
        <v>0.3176852813</v>
      </c>
      <c r="N405" s="16">
        <f t="shared" si="2"/>
        <v>83.05172414</v>
      </c>
    </row>
    <row r="406" ht="15.75" customHeight="1">
      <c r="A406" s="9" t="s">
        <v>448</v>
      </c>
      <c r="B406" s="10" t="s">
        <v>52</v>
      </c>
      <c r="C406" s="11">
        <v>45949.0</v>
      </c>
      <c r="D406" s="11">
        <v>45989.0</v>
      </c>
      <c r="E406" s="10" t="s">
        <v>16</v>
      </c>
      <c r="F406" s="12">
        <v>30531.0</v>
      </c>
      <c r="G406" s="13">
        <v>2839.0</v>
      </c>
      <c r="H406" s="13">
        <v>244.0</v>
      </c>
      <c r="I406" s="14">
        <v>32395.03</v>
      </c>
      <c r="J406" s="13">
        <v>24840.0</v>
      </c>
      <c r="K406" s="13">
        <v>720360.0</v>
      </c>
      <c r="L406" s="10" t="s">
        <v>17</v>
      </c>
      <c r="M406" s="15">
        <f t="shared" si="1"/>
        <v>0.06105368314</v>
      </c>
      <c r="N406" s="16">
        <f t="shared" si="2"/>
        <v>125.1270492</v>
      </c>
    </row>
    <row r="407" ht="15.75" customHeight="1">
      <c r="A407" s="9" t="s">
        <v>449</v>
      </c>
      <c r="B407" s="10" t="s">
        <v>52</v>
      </c>
      <c r="C407" s="11">
        <v>45976.0</v>
      </c>
      <c r="D407" s="11">
        <v>46019.0</v>
      </c>
      <c r="E407" s="10" t="s">
        <v>16</v>
      </c>
      <c r="F407" s="12">
        <v>52665.0</v>
      </c>
      <c r="G407" s="13">
        <v>4045.0</v>
      </c>
      <c r="H407" s="13">
        <v>541.0</v>
      </c>
      <c r="I407" s="14">
        <v>86558.39</v>
      </c>
      <c r="J407" s="13">
        <v>43365.0</v>
      </c>
      <c r="K407" s="13">
        <v>867300.0</v>
      </c>
      <c r="L407" s="10" t="s">
        <v>17</v>
      </c>
      <c r="M407" s="15">
        <f t="shared" si="1"/>
        <v>0.6435657458</v>
      </c>
      <c r="N407" s="16">
        <f t="shared" si="2"/>
        <v>97.34750462</v>
      </c>
    </row>
    <row r="408" ht="15.75" customHeight="1">
      <c r="A408" s="9" t="s">
        <v>450</v>
      </c>
      <c r="B408" s="10" t="s">
        <v>19</v>
      </c>
      <c r="C408" s="11">
        <v>45995.0</v>
      </c>
      <c r="D408" s="11">
        <v>46035.0</v>
      </c>
      <c r="E408" s="10" t="s">
        <v>26</v>
      </c>
      <c r="F408" s="12">
        <v>18543.0</v>
      </c>
      <c r="G408" s="13">
        <v>1409.0</v>
      </c>
      <c r="H408" s="13">
        <v>36.0</v>
      </c>
      <c r="I408" s="14">
        <v>3233.5</v>
      </c>
      <c r="J408" s="13">
        <v>36405.0</v>
      </c>
      <c r="K408" s="13">
        <v>473265.0</v>
      </c>
      <c r="L408" s="10" t="s">
        <v>17</v>
      </c>
      <c r="M408" s="15">
        <f t="shared" si="1"/>
        <v>-0.8256215283</v>
      </c>
      <c r="N408" s="16">
        <f t="shared" si="2"/>
        <v>515.0833333</v>
      </c>
    </row>
    <row r="409" ht="15.75" customHeight="1">
      <c r="A409" s="9" t="s">
        <v>451</v>
      </c>
      <c r="B409" s="10" t="s">
        <v>58</v>
      </c>
      <c r="C409" s="11">
        <v>46045.0</v>
      </c>
      <c r="D409" s="11">
        <v>46078.0</v>
      </c>
      <c r="E409" s="10" t="s">
        <v>16</v>
      </c>
      <c r="F409" s="12">
        <v>45817.0</v>
      </c>
      <c r="G409" s="13">
        <v>3750.0</v>
      </c>
      <c r="H409" s="13">
        <v>249.0</v>
      </c>
      <c r="I409" s="14">
        <v>16501.0</v>
      </c>
      <c r="J409" s="13">
        <v>89925.0</v>
      </c>
      <c r="K409" s="13">
        <v>1708575.0</v>
      </c>
      <c r="L409" s="10" t="s">
        <v>17</v>
      </c>
      <c r="M409" s="15">
        <f t="shared" si="1"/>
        <v>-0.6398498374</v>
      </c>
      <c r="N409" s="16">
        <f t="shared" si="2"/>
        <v>184.0040161</v>
      </c>
    </row>
    <row r="410" ht="15.75" customHeight="1">
      <c r="A410" s="9" t="s">
        <v>452</v>
      </c>
      <c r="B410" s="10" t="s">
        <v>52</v>
      </c>
      <c r="C410" s="11">
        <v>46063.0</v>
      </c>
      <c r="D410" s="11">
        <v>46088.0</v>
      </c>
      <c r="E410" s="10" t="s">
        <v>16</v>
      </c>
      <c r="F410" s="12">
        <v>59328.0</v>
      </c>
      <c r="G410" s="13">
        <v>3083.0</v>
      </c>
      <c r="H410" s="13">
        <v>341.0</v>
      </c>
      <c r="I410" s="14">
        <v>49793.53</v>
      </c>
      <c r="J410" s="13">
        <v>75402.0</v>
      </c>
      <c r="K410" s="13">
        <v>1281834.0</v>
      </c>
      <c r="L410" s="10" t="s">
        <v>17</v>
      </c>
      <c r="M410" s="15">
        <f t="shared" si="1"/>
        <v>-0.1607077602</v>
      </c>
      <c r="N410" s="16">
        <f t="shared" si="2"/>
        <v>173.9824047</v>
      </c>
    </row>
    <row r="411" ht="15.75" customHeight="1">
      <c r="A411" s="9" t="s">
        <v>453</v>
      </c>
      <c r="B411" s="10" t="s">
        <v>58</v>
      </c>
      <c r="C411" s="11">
        <v>45961.0</v>
      </c>
      <c r="D411" s="11">
        <v>45969.0</v>
      </c>
      <c r="E411" s="10" t="s">
        <v>26</v>
      </c>
      <c r="F411" s="12">
        <v>7910.0</v>
      </c>
      <c r="G411" s="13">
        <v>922.0</v>
      </c>
      <c r="H411" s="13">
        <v>50.0</v>
      </c>
      <c r="I411" s="14">
        <v>7698.91</v>
      </c>
      <c r="J411" s="13">
        <v>22551.0</v>
      </c>
      <c r="K411" s="13">
        <v>518673.0</v>
      </c>
      <c r="L411" s="10" t="s">
        <v>17</v>
      </c>
      <c r="M411" s="15">
        <f t="shared" si="1"/>
        <v>-0.02668647282</v>
      </c>
      <c r="N411" s="16">
        <f t="shared" si="2"/>
        <v>158.2</v>
      </c>
    </row>
    <row r="412" ht="15.75" customHeight="1">
      <c r="A412" s="9" t="s">
        <v>454</v>
      </c>
      <c r="B412" s="10" t="s">
        <v>25</v>
      </c>
      <c r="C412" s="11">
        <v>45846.0</v>
      </c>
      <c r="D412" s="11">
        <v>45888.0</v>
      </c>
      <c r="E412" s="10" t="s">
        <v>26</v>
      </c>
      <c r="F412" s="12">
        <v>8731.0</v>
      </c>
      <c r="G412" s="13">
        <v>565.0</v>
      </c>
      <c r="H412" s="13">
        <v>42.0</v>
      </c>
      <c r="I412" s="14">
        <v>7603.16</v>
      </c>
      <c r="J412" s="13">
        <v>11679.0</v>
      </c>
      <c r="K412" s="13">
        <v>280296.0</v>
      </c>
      <c r="L412" s="10" t="s">
        <v>17</v>
      </c>
      <c r="M412" s="15">
        <f t="shared" si="1"/>
        <v>-0.1291764975</v>
      </c>
      <c r="N412" s="16">
        <f t="shared" si="2"/>
        <v>207.8809524</v>
      </c>
    </row>
    <row r="413" ht="15.75" customHeight="1">
      <c r="A413" s="9" t="s">
        <v>455</v>
      </c>
      <c r="B413" s="10" t="s">
        <v>52</v>
      </c>
      <c r="C413" s="11">
        <v>46107.0</v>
      </c>
      <c r="D413" s="11">
        <v>46167.0</v>
      </c>
      <c r="E413" s="10" t="s">
        <v>35</v>
      </c>
      <c r="F413" s="12">
        <v>2643.0</v>
      </c>
      <c r="G413" s="13">
        <v>430.0</v>
      </c>
      <c r="H413" s="13">
        <v>58.0</v>
      </c>
      <c r="I413" s="14">
        <v>5483.39</v>
      </c>
      <c r="J413" s="13">
        <v>9491.0</v>
      </c>
      <c r="K413" s="13">
        <v>275239.0</v>
      </c>
      <c r="L413" s="10" t="s">
        <v>17</v>
      </c>
      <c r="M413" s="15">
        <f t="shared" si="1"/>
        <v>1.074684071</v>
      </c>
      <c r="N413" s="16">
        <f t="shared" si="2"/>
        <v>45.56896552</v>
      </c>
    </row>
    <row r="414" ht="15.75" customHeight="1">
      <c r="A414" s="9" t="s">
        <v>456</v>
      </c>
      <c r="B414" s="10" t="s">
        <v>62</v>
      </c>
      <c r="C414" s="11">
        <v>46074.0</v>
      </c>
      <c r="D414" s="11">
        <v>46098.0</v>
      </c>
      <c r="E414" s="10" t="s">
        <v>26</v>
      </c>
      <c r="F414" s="12">
        <v>12276.0</v>
      </c>
      <c r="G414" s="13">
        <v>672.0</v>
      </c>
      <c r="H414" s="13">
        <v>27.0</v>
      </c>
      <c r="I414" s="14">
        <v>2057.33</v>
      </c>
      <c r="J414" s="13">
        <v>40502.0</v>
      </c>
      <c r="K414" s="13">
        <v>486024.0</v>
      </c>
      <c r="L414" s="10" t="s">
        <v>17</v>
      </c>
      <c r="M414" s="15">
        <f t="shared" si="1"/>
        <v>-0.8324103943</v>
      </c>
      <c r="N414" s="16">
        <f t="shared" si="2"/>
        <v>454.6666667</v>
      </c>
    </row>
    <row r="415" ht="15.75" customHeight="1">
      <c r="A415" s="9" t="s">
        <v>457</v>
      </c>
      <c r="B415" s="10" t="s">
        <v>25</v>
      </c>
      <c r="C415" s="11">
        <v>46079.0</v>
      </c>
      <c r="D415" s="11">
        <v>46107.0</v>
      </c>
      <c r="E415" s="10" t="s">
        <v>26</v>
      </c>
      <c r="F415" s="12">
        <v>14765.0</v>
      </c>
      <c r="G415" s="13">
        <v>2135.0</v>
      </c>
      <c r="H415" s="13">
        <v>2139.0</v>
      </c>
      <c r="I415" s="14">
        <v>13514.69</v>
      </c>
      <c r="J415" s="13">
        <v>26507.0</v>
      </c>
      <c r="K415" s="13">
        <v>556647.0</v>
      </c>
      <c r="L415" s="10" t="s">
        <v>17</v>
      </c>
      <c r="M415" s="15">
        <f t="shared" si="1"/>
        <v>-0.08468066373</v>
      </c>
      <c r="N415" s="16">
        <f t="shared" si="2"/>
        <v>6.902758298</v>
      </c>
    </row>
    <row r="416" ht="15.75" customHeight="1">
      <c r="A416" s="9" t="s">
        <v>458</v>
      </c>
      <c r="B416" s="10" t="s">
        <v>58</v>
      </c>
      <c r="C416" s="11">
        <v>46008.0</v>
      </c>
      <c r="D416" s="11">
        <v>46068.0</v>
      </c>
      <c r="E416" s="10" t="s">
        <v>26</v>
      </c>
      <c r="F416" s="12">
        <v>3535.0</v>
      </c>
      <c r="G416" s="13">
        <v>302.0</v>
      </c>
      <c r="H416" s="13">
        <v>8.0</v>
      </c>
      <c r="I416" s="14">
        <v>1213.04</v>
      </c>
      <c r="J416" s="13">
        <v>8428.0</v>
      </c>
      <c r="K416" s="13">
        <v>151704.0</v>
      </c>
      <c r="L416" s="10" t="s">
        <v>17</v>
      </c>
      <c r="M416" s="15">
        <f t="shared" si="1"/>
        <v>-0.6568486563</v>
      </c>
      <c r="N416" s="16">
        <f t="shared" si="2"/>
        <v>441.875</v>
      </c>
    </row>
    <row r="417" ht="15.75" customHeight="1">
      <c r="A417" s="9" t="s">
        <v>459</v>
      </c>
      <c r="B417" s="10" t="s">
        <v>52</v>
      </c>
      <c r="C417" s="11">
        <v>45987.0</v>
      </c>
      <c r="D417" s="11">
        <v>46008.0</v>
      </c>
      <c r="E417" s="10" t="s">
        <v>16</v>
      </c>
      <c r="F417" s="12">
        <v>38845.0</v>
      </c>
      <c r="G417" s="13">
        <v>2798.0</v>
      </c>
      <c r="H417" s="13">
        <v>169.0</v>
      </c>
      <c r="I417" s="14">
        <v>26712.35</v>
      </c>
      <c r="J417" s="13">
        <v>41815.0</v>
      </c>
      <c r="K417" s="13">
        <v>1212635.0</v>
      </c>
      <c r="L417" s="10" t="s">
        <v>17</v>
      </c>
      <c r="M417" s="15">
        <f t="shared" si="1"/>
        <v>-0.3123349208</v>
      </c>
      <c r="N417" s="16">
        <f t="shared" si="2"/>
        <v>229.852071</v>
      </c>
    </row>
    <row r="418" ht="15.75" customHeight="1">
      <c r="A418" s="9" t="s">
        <v>460</v>
      </c>
      <c r="B418" s="10" t="s">
        <v>38</v>
      </c>
      <c r="C418" s="11">
        <v>46096.0</v>
      </c>
      <c r="D418" s="11">
        <v>46138.0</v>
      </c>
      <c r="E418" s="10" t="s">
        <v>35</v>
      </c>
      <c r="F418" s="12">
        <v>2284.0</v>
      </c>
      <c r="G418" s="13">
        <v>162.0</v>
      </c>
      <c r="H418" s="13">
        <v>22.0</v>
      </c>
      <c r="I418" s="14">
        <v>1432.18</v>
      </c>
      <c r="J418" s="13">
        <v>5084.0</v>
      </c>
      <c r="K418" s="13">
        <v>40672.0</v>
      </c>
      <c r="L418" s="10" t="s">
        <v>17</v>
      </c>
      <c r="M418" s="15">
        <f t="shared" si="1"/>
        <v>-0.3729509632</v>
      </c>
      <c r="N418" s="16">
        <f t="shared" si="2"/>
        <v>103.8181818</v>
      </c>
    </row>
    <row r="419" ht="15.75" customHeight="1">
      <c r="A419" s="9" t="s">
        <v>461</v>
      </c>
      <c r="B419" s="10" t="s">
        <v>28</v>
      </c>
      <c r="C419" s="11">
        <v>46197.0</v>
      </c>
      <c r="D419" s="11">
        <v>46240.0</v>
      </c>
      <c r="E419" s="10" t="s">
        <v>16</v>
      </c>
      <c r="F419" s="12">
        <v>22166.0</v>
      </c>
      <c r="G419" s="13">
        <v>4449.0</v>
      </c>
      <c r="H419" s="13">
        <v>350.0</v>
      </c>
      <c r="I419" s="14">
        <v>36998.38</v>
      </c>
      <c r="J419" s="13">
        <v>23935.0</v>
      </c>
      <c r="K419" s="13">
        <v>359025.0</v>
      </c>
      <c r="L419" s="10" t="s">
        <v>17</v>
      </c>
      <c r="M419" s="15">
        <f t="shared" si="1"/>
        <v>0.6691500496</v>
      </c>
      <c r="N419" s="16">
        <f t="shared" si="2"/>
        <v>63.33142857</v>
      </c>
    </row>
    <row r="420" ht="15.75" customHeight="1">
      <c r="A420" s="9" t="s">
        <v>462</v>
      </c>
      <c r="B420" s="10" t="s">
        <v>47</v>
      </c>
      <c r="C420" s="11">
        <v>46128.0</v>
      </c>
      <c r="D420" s="11">
        <v>46134.0</v>
      </c>
      <c r="E420" s="10" t="s">
        <v>26</v>
      </c>
      <c r="F420" s="12">
        <v>8732.0</v>
      </c>
      <c r="G420" s="13">
        <v>583.0</v>
      </c>
      <c r="H420" s="13">
        <v>37.0</v>
      </c>
      <c r="I420" s="14">
        <v>8313.91</v>
      </c>
      <c r="J420" s="13">
        <v>16215.0</v>
      </c>
      <c r="K420" s="13">
        <v>324300.0</v>
      </c>
      <c r="L420" s="10" t="s">
        <v>17</v>
      </c>
      <c r="M420" s="15">
        <f t="shared" si="1"/>
        <v>-0.04788021072</v>
      </c>
      <c r="N420" s="16">
        <f t="shared" si="2"/>
        <v>236</v>
      </c>
    </row>
    <row r="421" ht="15.75" customHeight="1">
      <c r="A421" s="9" t="s">
        <v>463</v>
      </c>
      <c r="B421" s="10" t="s">
        <v>56</v>
      </c>
      <c r="C421" s="11">
        <v>46137.0</v>
      </c>
      <c r="D421" s="11">
        <v>46146.0</v>
      </c>
      <c r="E421" s="10" t="s">
        <v>16</v>
      </c>
      <c r="F421" s="12">
        <v>54356.0</v>
      </c>
      <c r="G421" s="13">
        <v>3758.0</v>
      </c>
      <c r="H421" s="13">
        <v>552.0</v>
      </c>
      <c r="I421" s="14">
        <v>113479.68</v>
      </c>
      <c r="J421" s="13">
        <v>61629.0</v>
      </c>
      <c r="K421" s="13">
        <v>1602354.0</v>
      </c>
      <c r="L421" s="10" t="s">
        <v>17</v>
      </c>
      <c r="M421" s="15">
        <f t="shared" si="1"/>
        <v>1.08771212</v>
      </c>
      <c r="N421" s="16">
        <f t="shared" si="2"/>
        <v>98.47101449</v>
      </c>
    </row>
    <row r="422" ht="15.75" customHeight="1">
      <c r="A422" s="9" t="s">
        <v>464</v>
      </c>
      <c r="B422" s="10" t="s">
        <v>62</v>
      </c>
      <c r="C422" s="11">
        <v>46061.0</v>
      </c>
      <c r="D422" s="11">
        <v>46087.0</v>
      </c>
      <c r="E422" s="10" t="s">
        <v>26</v>
      </c>
      <c r="F422" s="12">
        <v>7360.0</v>
      </c>
      <c r="G422" s="13">
        <v>1066.0</v>
      </c>
      <c r="H422" s="13">
        <v>79.0</v>
      </c>
      <c r="I422" s="14">
        <v>6913.81</v>
      </c>
      <c r="J422" s="13">
        <v>20661.0</v>
      </c>
      <c r="K422" s="13">
        <v>165288.0</v>
      </c>
      <c r="L422" s="10" t="s">
        <v>17</v>
      </c>
      <c r="M422" s="15">
        <f t="shared" si="1"/>
        <v>-0.0606236413</v>
      </c>
      <c r="N422" s="16">
        <f t="shared" si="2"/>
        <v>93.16455696</v>
      </c>
    </row>
    <row r="423" ht="15.75" customHeight="1">
      <c r="A423" s="9" t="s">
        <v>465</v>
      </c>
      <c r="B423" s="10" t="s">
        <v>30</v>
      </c>
      <c r="C423" s="11">
        <v>45953.0</v>
      </c>
      <c r="D423" s="11">
        <v>45957.0</v>
      </c>
      <c r="E423" s="10" t="s">
        <v>26</v>
      </c>
      <c r="F423" s="12">
        <v>9927.0</v>
      </c>
      <c r="G423" s="13">
        <v>685.0</v>
      </c>
      <c r="H423" s="13">
        <v>31.0</v>
      </c>
      <c r="I423" s="14">
        <v>22967.89</v>
      </c>
      <c r="J423" s="13">
        <v>25556.0</v>
      </c>
      <c r="K423" s="13">
        <v>332228.0</v>
      </c>
      <c r="L423" s="10" t="s">
        <v>17</v>
      </c>
      <c r="M423" s="15">
        <f t="shared" si="1"/>
        <v>1.313678856</v>
      </c>
      <c r="N423" s="16">
        <f t="shared" si="2"/>
        <v>320.2258065</v>
      </c>
    </row>
    <row r="424" ht="15.75" customHeight="1">
      <c r="A424" s="9" t="s">
        <v>466</v>
      </c>
      <c r="B424" s="10" t="s">
        <v>52</v>
      </c>
      <c r="C424" s="11">
        <v>46154.0</v>
      </c>
      <c r="D424" s="11">
        <v>46178.0</v>
      </c>
      <c r="E424" s="10" t="s">
        <v>26</v>
      </c>
      <c r="F424" s="12">
        <v>6378.0</v>
      </c>
      <c r="G424" s="13">
        <v>1190.0</v>
      </c>
      <c r="H424" s="13">
        <v>49.0</v>
      </c>
      <c r="I424" s="14">
        <v>2415.75</v>
      </c>
      <c r="J424" s="13">
        <v>7461.0</v>
      </c>
      <c r="K424" s="13">
        <v>216369.0</v>
      </c>
      <c r="L424" s="10" t="s">
        <v>17</v>
      </c>
      <c r="M424" s="15">
        <f t="shared" si="1"/>
        <v>-0.6212370649</v>
      </c>
      <c r="N424" s="16">
        <f t="shared" si="2"/>
        <v>130.1632653</v>
      </c>
    </row>
    <row r="425" ht="15.75" customHeight="1">
      <c r="A425" s="9" t="s">
        <v>468</v>
      </c>
      <c r="B425" s="10" t="s">
        <v>52</v>
      </c>
      <c r="C425" s="11">
        <v>46094.0</v>
      </c>
      <c r="D425" s="11">
        <v>46139.0</v>
      </c>
      <c r="E425" s="10" t="s">
        <v>26</v>
      </c>
      <c r="F425" s="12">
        <v>14595.0</v>
      </c>
      <c r="G425" s="13">
        <v>948.0</v>
      </c>
      <c r="H425" s="13">
        <v>72.0</v>
      </c>
      <c r="I425" s="14">
        <v>3735.25</v>
      </c>
      <c r="J425" s="13">
        <v>18558.0</v>
      </c>
      <c r="K425" s="13">
        <v>371160.0</v>
      </c>
      <c r="L425" s="10" t="s">
        <v>17</v>
      </c>
      <c r="M425" s="15">
        <f t="shared" si="1"/>
        <v>-0.7440733128</v>
      </c>
      <c r="N425" s="16">
        <f t="shared" si="2"/>
        <v>202.7083333</v>
      </c>
    </row>
    <row r="426" ht="15.75" customHeight="1">
      <c r="A426" s="9" t="s">
        <v>469</v>
      </c>
      <c r="B426" s="10" t="s">
        <v>15</v>
      </c>
      <c r="C426" s="11">
        <v>46057.0</v>
      </c>
      <c r="D426" s="11">
        <v>46106.0</v>
      </c>
      <c r="E426" s="10" t="s">
        <v>26</v>
      </c>
      <c r="F426" s="12">
        <v>111625.0</v>
      </c>
      <c r="G426" s="13">
        <v>1924.0</v>
      </c>
      <c r="H426" s="13">
        <v>55.0</v>
      </c>
      <c r="I426" s="14">
        <v>9494.97</v>
      </c>
      <c r="J426" s="13">
        <v>23540.0</v>
      </c>
      <c r="K426" s="13">
        <v>659120.0</v>
      </c>
      <c r="L426" s="10" t="s">
        <v>17</v>
      </c>
      <c r="M426" s="15">
        <f t="shared" si="1"/>
        <v>-0.9149386786</v>
      </c>
      <c r="N426" s="16">
        <f t="shared" si="2"/>
        <v>2029.545455</v>
      </c>
    </row>
    <row r="427" ht="15.75" customHeight="1">
      <c r="A427" s="9" t="s">
        <v>470</v>
      </c>
      <c r="B427" s="10" t="s">
        <v>28</v>
      </c>
      <c r="C427" s="11">
        <v>46120.0</v>
      </c>
      <c r="D427" s="11">
        <v>46154.0</v>
      </c>
      <c r="E427" s="10" t="s">
        <v>26</v>
      </c>
      <c r="F427" s="12">
        <v>20153.0</v>
      </c>
      <c r="G427" s="13">
        <v>1175.0</v>
      </c>
      <c r="H427" s="13">
        <v>61.0</v>
      </c>
      <c r="I427" s="14">
        <v>7107.79</v>
      </c>
      <c r="J427" s="13">
        <v>32531.0</v>
      </c>
      <c r="K427" s="13">
        <v>975930.0</v>
      </c>
      <c r="L427" s="10" t="s">
        <v>17</v>
      </c>
      <c r="M427" s="15">
        <f t="shared" si="1"/>
        <v>-0.6473085893</v>
      </c>
      <c r="N427" s="16">
        <f t="shared" si="2"/>
        <v>330.3770492</v>
      </c>
    </row>
    <row r="428" ht="15.75" customHeight="1">
      <c r="A428" s="9" t="s">
        <v>471</v>
      </c>
      <c r="B428" s="10" t="s">
        <v>25</v>
      </c>
      <c r="C428" s="11">
        <v>46081.0</v>
      </c>
      <c r="D428" s="11">
        <v>46092.0</v>
      </c>
      <c r="E428" s="10" t="s">
        <v>26</v>
      </c>
      <c r="F428" s="12">
        <v>6109.0</v>
      </c>
      <c r="G428" s="13">
        <v>347.0</v>
      </c>
      <c r="H428" s="13">
        <v>8.0</v>
      </c>
      <c r="I428" s="14">
        <v>1723.3</v>
      </c>
      <c r="J428" s="13">
        <v>11987.0</v>
      </c>
      <c r="K428" s="13">
        <v>251727.0</v>
      </c>
      <c r="L428" s="10" t="s">
        <v>17</v>
      </c>
      <c r="M428" s="15">
        <f t="shared" si="1"/>
        <v>-0.7179080046</v>
      </c>
      <c r="N428" s="16">
        <f t="shared" si="2"/>
        <v>763.625</v>
      </c>
    </row>
    <row r="429" ht="15.75" customHeight="1">
      <c r="A429" s="9" t="s">
        <v>472</v>
      </c>
      <c r="B429" s="10" t="s">
        <v>28</v>
      </c>
      <c r="C429" s="11">
        <v>46195.0</v>
      </c>
      <c r="D429" s="11">
        <v>46243.0</v>
      </c>
      <c r="E429" s="10" t="s">
        <v>26</v>
      </c>
      <c r="F429" s="12">
        <v>7188.0</v>
      </c>
      <c r="G429" s="13">
        <v>369.0</v>
      </c>
      <c r="H429" s="13">
        <v>15.0</v>
      </c>
      <c r="I429" s="14">
        <v>1771.03</v>
      </c>
      <c r="J429" s="13">
        <v>22760.0</v>
      </c>
      <c r="K429" s="13">
        <v>182080.0</v>
      </c>
      <c r="L429" s="10" t="s">
        <v>17</v>
      </c>
      <c r="M429" s="15">
        <f t="shared" si="1"/>
        <v>-0.7536129661</v>
      </c>
      <c r="N429" s="16">
        <f t="shared" si="2"/>
        <v>479.2</v>
      </c>
    </row>
    <row r="430" ht="15.75" customHeight="1">
      <c r="A430" s="9" t="s">
        <v>473</v>
      </c>
      <c r="B430" s="10" t="s">
        <v>47</v>
      </c>
      <c r="C430" s="11">
        <v>46052.0</v>
      </c>
      <c r="D430" s="11">
        <v>46064.0</v>
      </c>
      <c r="E430" s="10" t="s">
        <v>16</v>
      </c>
      <c r="F430" s="12">
        <v>57162.0</v>
      </c>
      <c r="G430" s="13">
        <v>3579.0</v>
      </c>
      <c r="H430" s="13">
        <v>263.0</v>
      </c>
      <c r="I430" s="14">
        <v>41721.46</v>
      </c>
      <c r="J430" s="13">
        <v>45966.0</v>
      </c>
      <c r="K430" s="13">
        <v>781422.0</v>
      </c>
      <c r="L430" s="10" t="s">
        <v>17</v>
      </c>
      <c r="M430" s="15">
        <f t="shared" si="1"/>
        <v>-0.2701189601</v>
      </c>
      <c r="N430" s="16">
        <f t="shared" si="2"/>
        <v>217.3460076</v>
      </c>
    </row>
    <row r="431" ht="15.75" customHeight="1">
      <c r="A431" s="9" t="s">
        <v>474</v>
      </c>
      <c r="B431" s="10" t="s">
        <v>25</v>
      </c>
      <c r="C431" s="11">
        <v>46096.0</v>
      </c>
      <c r="D431" s="11">
        <v>46109.0</v>
      </c>
      <c r="E431" s="10" t="s">
        <v>35</v>
      </c>
      <c r="F431" s="12">
        <v>889.0</v>
      </c>
      <c r="G431" s="13">
        <v>46.0</v>
      </c>
      <c r="H431" s="13">
        <v>8.0</v>
      </c>
      <c r="I431" s="14">
        <v>1068.52</v>
      </c>
      <c r="J431" s="13">
        <v>2980.0</v>
      </c>
      <c r="K431" s="13">
        <v>38740.0</v>
      </c>
      <c r="L431" s="10" t="s">
        <v>17</v>
      </c>
      <c r="M431" s="15">
        <f t="shared" si="1"/>
        <v>0.2019347582</v>
      </c>
      <c r="N431" s="16">
        <f t="shared" si="2"/>
        <v>111.125</v>
      </c>
    </row>
    <row r="432" ht="15.75" customHeight="1">
      <c r="A432" s="9" t="s">
        <v>475</v>
      </c>
      <c r="B432" s="10" t="s">
        <v>15</v>
      </c>
      <c r="C432" s="11">
        <v>46044.0</v>
      </c>
      <c r="D432" s="11">
        <v>46086.0</v>
      </c>
      <c r="E432" s="10" t="s">
        <v>35</v>
      </c>
      <c r="F432" s="12">
        <v>31258.0</v>
      </c>
      <c r="G432" s="13">
        <v>78.0</v>
      </c>
      <c r="H432" s="13">
        <v>11.0</v>
      </c>
      <c r="I432" s="14">
        <v>1740.43</v>
      </c>
      <c r="J432" s="13">
        <v>5870.0</v>
      </c>
      <c r="K432" s="13">
        <v>117400.0</v>
      </c>
      <c r="L432" s="10" t="s">
        <v>17</v>
      </c>
      <c r="M432" s="15">
        <f t="shared" si="1"/>
        <v>-0.944320494</v>
      </c>
      <c r="N432" s="16">
        <f t="shared" si="2"/>
        <v>2841.636364</v>
      </c>
    </row>
    <row r="433" ht="15.75" customHeight="1">
      <c r="A433" s="9" t="s">
        <v>476</v>
      </c>
      <c r="B433" s="10" t="s">
        <v>47</v>
      </c>
      <c r="C433" s="11">
        <v>45892.0</v>
      </c>
      <c r="D433" s="11">
        <v>45899.0</v>
      </c>
      <c r="E433" s="10" t="s">
        <v>26</v>
      </c>
      <c r="F433" s="12">
        <v>14385.0</v>
      </c>
      <c r="G433" s="13">
        <v>3233.0</v>
      </c>
      <c r="H433" s="13">
        <v>181.0</v>
      </c>
      <c r="I433" s="14">
        <v>29488.21</v>
      </c>
      <c r="J433" s="13">
        <v>17803.0</v>
      </c>
      <c r="K433" s="13">
        <v>498484.0</v>
      </c>
      <c r="L433" s="10" t="s">
        <v>17</v>
      </c>
      <c r="M433" s="15">
        <f t="shared" si="1"/>
        <v>1.049927702</v>
      </c>
      <c r="N433" s="16">
        <f t="shared" si="2"/>
        <v>79.47513812</v>
      </c>
    </row>
    <row r="434" ht="15.75" customHeight="1">
      <c r="A434" s="9" t="s">
        <v>477</v>
      </c>
      <c r="B434" s="10" t="s">
        <v>38</v>
      </c>
      <c r="C434" s="11">
        <v>46127.0</v>
      </c>
      <c r="D434" s="11">
        <v>46180.0</v>
      </c>
      <c r="E434" s="10" t="s">
        <v>16</v>
      </c>
      <c r="F434" s="12">
        <v>38706.0</v>
      </c>
      <c r="G434" s="13">
        <v>2026.0</v>
      </c>
      <c r="H434" s="13">
        <v>113.0</v>
      </c>
      <c r="I434" s="14">
        <v>5279.76</v>
      </c>
      <c r="J434" s="13">
        <v>47516.0</v>
      </c>
      <c r="K434" s="13">
        <v>902804.0</v>
      </c>
      <c r="L434" s="10" t="s">
        <v>17</v>
      </c>
      <c r="M434" s="15">
        <f t="shared" si="1"/>
        <v>-0.8635932414</v>
      </c>
      <c r="N434" s="16">
        <f t="shared" si="2"/>
        <v>342.5309735</v>
      </c>
    </row>
    <row r="435" ht="15.75" customHeight="1">
      <c r="A435" s="9" t="s">
        <v>478</v>
      </c>
      <c r="B435" s="10" t="s">
        <v>47</v>
      </c>
      <c r="C435" s="11">
        <v>45957.0</v>
      </c>
      <c r="D435" s="11">
        <v>46016.0</v>
      </c>
      <c r="E435" s="10" t="s">
        <v>26</v>
      </c>
      <c r="F435" s="12">
        <v>9566.0</v>
      </c>
      <c r="G435" s="13">
        <v>586.0</v>
      </c>
      <c r="H435" s="13">
        <v>40.0</v>
      </c>
      <c r="I435" s="14">
        <v>23404.29</v>
      </c>
      <c r="J435" s="13">
        <v>13813.0</v>
      </c>
      <c r="K435" s="13">
        <v>248634.0</v>
      </c>
      <c r="L435" s="10" t="s">
        <v>17</v>
      </c>
      <c r="M435" s="15">
        <f t="shared" si="1"/>
        <v>1.446611959</v>
      </c>
      <c r="N435" s="16">
        <f t="shared" si="2"/>
        <v>239.15</v>
      </c>
    </row>
    <row r="436" ht="15.75" customHeight="1">
      <c r="A436" s="9" t="s">
        <v>479</v>
      </c>
      <c r="B436" s="10" t="s">
        <v>25</v>
      </c>
      <c r="C436" s="11">
        <v>45883.0</v>
      </c>
      <c r="D436" s="11">
        <v>45917.0</v>
      </c>
      <c r="E436" s="10" t="s">
        <v>16</v>
      </c>
      <c r="F436" s="12">
        <v>13167.0</v>
      </c>
      <c r="G436" s="13">
        <v>1508.0</v>
      </c>
      <c r="H436" s="13">
        <v>164.0</v>
      </c>
      <c r="I436" s="14">
        <v>9897.42</v>
      </c>
      <c r="J436" s="13">
        <v>19660.0</v>
      </c>
      <c r="K436" s="13">
        <v>452180.0</v>
      </c>
      <c r="L436" s="10" t="s">
        <v>17</v>
      </c>
      <c r="M436" s="15">
        <f t="shared" si="1"/>
        <v>-0.2483162452</v>
      </c>
      <c r="N436" s="16">
        <f t="shared" si="2"/>
        <v>80.28658537</v>
      </c>
    </row>
    <row r="437" ht="15.75" customHeight="1">
      <c r="A437" s="9" t="s">
        <v>480</v>
      </c>
      <c r="B437" s="10" t="s">
        <v>52</v>
      </c>
      <c r="C437" s="11">
        <v>46098.0</v>
      </c>
      <c r="D437" s="11">
        <v>46129.0</v>
      </c>
      <c r="E437" s="10" t="s">
        <v>35</v>
      </c>
      <c r="F437" s="12">
        <v>2953.0</v>
      </c>
      <c r="G437" s="13">
        <v>630.0</v>
      </c>
      <c r="H437" s="13">
        <v>173.0</v>
      </c>
      <c r="I437" s="14">
        <v>32728.06</v>
      </c>
      <c r="J437" s="13">
        <v>5942.0</v>
      </c>
      <c r="K437" s="13">
        <v>65362.0</v>
      </c>
      <c r="L437" s="10" t="s">
        <v>17</v>
      </c>
      <c r="M437" s="15">
        <f t="shared" si="1"/>
        <v>10.08298679</v>
      </c>
      <c r="N437" s="16">
        <f t="shared" si="2"/>
        <v>17.06936416</v>
      </c>
    </row>
    <row r="438" ht="15.75" customHeight="1">
      <c r="A438" s="9" t="s">
        <v>481</v>
      </c>
      <c r="B438" s="10" t="s">
        <v>47</v>
      </c>
      <c r="C438" s="11">
        <v>46075.0</v>
      </c>
      <c r="D438" s="11">
        <v>46120.0</v>
      </c>
      <c r="E438" s="10" t="s">
        <v>26</v>
      </c>
      <c r="F438" s="12">
        <v>5563.0</v>
      </c>
      <c r="G438" s="13">
        <v>442.0</v>
      </c>
      <c r="H438" s="13">
        <v>18.0</v>
      </c>
      <c r="I438" s="14">
        <v>33022.36</v>
      </c>
      <c r="J438" s="13">
        <v>9573.0</v>
      </c>
      <c r="K438" s="13">
        <v>201033.0</v>
      </c>
      <c r="L438" s="10" t="s">
        <v>17</v>
      </c>
      <c r="M438" s="15">
        <f t="shared" si="1"/>
        <v>4.936070466</v>
      </c>
      <c r="N438" s="16">
        <f t="shared" si="2"/>
        <v>309.0555556</v>
      </c>
    </row>
    <row r="439" ht="15.75" customHeight="1">
      <c r="A439" s="9" t="s">
        <v>482</v>
      </c>
      <c r="B439" s="10" t="s">
        <v>56</v>
      </c>
      <c r="C439" s="11">
        <v>46198.0</v>
      </c>
      <c r="D439" s="11">
        <v>46248.0</v>
      </c>
      <c r="E439" s="10" t="s">
        <v>16</v>
      </c>
      <c r="F439" s="12">
        <v>38209.0</v>
      </c>
      <c r="G439" s="13">
        <v>3003.0</v>
      </c>
      <c r="H439" s="13">
        <v>194.0</v>
      </c>
      <c r="I439" s="14">
        <v>36889.86</v>
      </c>
      <c r="J439" s="13">
        <v>40027.0</v>
      </c>
      <c r="K439" s="13">
        <v>360243.0</v>
      </c>
      <c r="L439" s="10" t="s">
        <v>17</v>
      </c>
      <c r="M439" s="15">
        <f t="shared" si="1"/>
        <v>-0.03452432673</v>
      </c>
      <c r="N439" s="16">
        <f t="shared" si="2"/>
        <v>196.9536082</v>
      </c>
    </row>
    <row r="440" ht="15.75" customHeight="1">
      <c r="A440" s="9" t="s">
        <v>483</v>
      </c>
      <c r="B440" s="10" t="s">
        <v>28</v>
      </c>
      <c r="C440" s="11">
        <v>45947.0</v>
      </c>
      <c r="D440" s="11">
        <v>46005.0</v>
      </c>
      <c r="E440" s="10" t="s">
        <v>26</v>
      </c>
      <c r="F440" s="12">
        <v>3251.0</v>
      </c>
      <c r="G440" s="13">
        <v>390.0</v>
      </c>
      <c r="H440" s="13">
        <v>30.0</v>
      </c>
      <c r="I440" s="14">
        <v>1921.92</v>
      </c>
      <c r="J440" s="13">
        <v>4577.0</v>
      </c>
      <c r="K440" s="13">
        <v>109848.0</v>
      </c>
      <c r="L440" s="10" t="s">
        <v>17</v>
      </c>
      <c r="M440" s="15">
        <f t="shared" si="1"/>
        <v>-0.408821901</v>
      </c>
      <c r="N440" s="16">
        <f t="shared" si="2"/>
        <v>108.3666667</v>
      </c>
    </row>
    <row r="441" ht="15.75" customHeight="1">
      <c r="A441" s="9" t="s">
        <v>484</v>
      </c>
      <c r="B441" s="10" t="s">
        <v>15</v>
      </c>
      <c r="C441" s="11">
        <v>46058.0</v>
      </c>
      <c r="D441" s="11">
        <v>46082.0</v>
      </c>
      <c r="E441" s="10" t="s">
        <v>26</v>
      </c>
      <c r="F441" s="12">
        <v>12228.0</v>
      </c>
      <c r="G441" s="13">
        <v>1142.0</v>
      </c>
      <c r="H441" s="13">
        <v>34.0</v>
      </c>
      <c r="I441" s="14">
        <v>4645.22</v>
      </c>
      <c r="J441" s="13">
        <v>23996.0</v>
      </c>
      <c r="K441" s="13">
        <v>479920.0</v>
      </c>
      <c r="L441" s="10" t="s">
        <v>17</v>
      </c>
      <c r="M441" s="15">
        <f t="shared" si="1"/>
        <v>-0.6201161269</v>
      </c>
      <c r="N441" s="16">
        <f t="shared" si="2"/>
        <v>359.6470588</v>
      </c>
    </row>
    <row r="442" ht="15.75" customHeight="1">
      <c r="A442" s="9" t="s">
        <v>485</v>
      </c>
      <c r="B442" s="10" t="s">
        <v>19</v>
      </c>
      <c r="C442" s="11">
        <v>46180.0</v>
      </c>
      <c r="D442" s="11">
        <v>46220.0</v>
      </c>
      <c r="E442" s="10" t="s">
        <v>26</v>
      </c>
      <c r="F442" s="12">
        <v>22701.0</v>
      </c>
      <c r="G442" s="13">
        <v>1321.0</v>
      </c>
      <c r="H442" s="13">
        <v>37.0</v>
      </c>
      <c r="I442" s="14">
        <v>26761.72</v>
      </c>
      <c r="J442" s="13">
        <v>32502.0</v>
      </c>
      <c r="K442" s="13">
        <v>585036.0</v>
      </c>
      <c r="L442" s="10" t="s">
        <v>17</v>
      </c>
      <c r="M442" s="15">
        <f t="shared" si="1"/>
        <v>0.1788784635</v>
      </c>
      <c r="N442" s="16">
        <f t="shared" si="2"/>
        <v>613.5405405</v>
      </c>
    </row>
    <row r="443" ht="15.75" customHeight="1">
      <c r="A443" s="9" t="s">
        <v>486</v>
      </c>
      <c r="B443" s="10" t="s">
        <v>47</v>
      </c>
      <c r="C443" s="11">
        <v>46069.0</v>
      </c>
      <c r="D443" s="11">
        <v>46125.0</v>
      </c>
      <c r="E443" s="10" t="s">
        <v>35</v>
      </c>
      <c r="F443" s="12">
        <v>1829.0</v>
      </c>
      <c r="G443" s="13">
        <v>137.0</v>
      </c>
      <c r="H443" s="13">
        <v>31.0</v>
      </c>
      <c r="I443" s="14">
        <v>21777.29</v>
      </c>
      <c r="J443" s="13">
        <v>4895.0</v>
      </c>
      <c r="K443" s="13">
        <v>68530.0</v>
      </c>
      <c r="L443" s="10" t="s">
        <v>17</v>
      </c>
      <c r="M443" s="15">
        <f t="shared" si="1"/>
        <v>10.90666484</v>
      </c>
      <c r="N443" s="16">
        <f t="shared" si="2"/>
        <v>59</v>
      </c>
    </row>
    <row r="444" ht="15.75" customHeight="1">
      <c r="A444" s="9" t="s">
        <v>487</v>
      </c>
      <c r="B444" s="10" t="s">
        <v>52</v>
      </c>
      <c r="C444" s="11">
        <v>46010.0</v>
      </c>
      <c r="D444" s="11">
        <v>46020.0</v>
      </c>
      <c r="E444" s="10" t="s">
        <v>16</v>
      </c>
      <c r="F444" s="12">
        <v>18522.0</v>
      </c>
      <c r="G444" s="13">
        <v>1442.0</v>
      </c>
      <c r="H444" s="13">
        <v>158.0</v>
      </c>
      <c r="I444" s="14">
        <v>11699.64</v>
      </c>
      <c r="J444" s="13">
        <v>21213.0</v>
      </c>
      <c r="K444" s="13">
        <v>636390.0</v>
      </c>
      <c r="L444" s="10" t="s">
        <v>17</v>
      </c>
      <c r="M444" s="15">
        <f t="shared" si="1"/>
        <v>-0.3683381924</v>
      </c>
      <c r="N444" s="16">
        <f t="shared" si="2"/>
        <v>117.2278481</v>
      </c>
    </row>
    <row r="445" ht="15.75" customHeight="1">
      <c r="A445" s="9" t="s">
        <v>488</v>
      </c>
      <c r="B445" s="10" t="s">
        <v>30</v>
      </c>
      <c r="C445" s="11">
        <v>45897.0</v>
      </c>
      <c r="D445" s="11">
        <v>45912.0</v>
      </c>
      <c r="E445" s="10" t="s">
        <v>16</v>
      </c>
      <c r="F445" s="12">
        <v>37774.0</v>
      </c>
      <c r="G445" s="13">
        <v>2261.0</v>
      </c>
      <c r="H445" s="13">
        <v>392.0</v>
      </c>
      <c r="I445" s="14">
        <v>55862.54</v>
      </c>
      <c r="J445" s="13">
        <v>44407.0</v>
      </c>
      <c r="K445" s="13">
        <v>666105.0</v>
      </c>
      <c r="L445" s="10" t="s">
        <v>17</v>
      </c>
      <c r="M445" s="15">
        <f t="shared" si="1"/>
        <v>0.4788621803</v>
      </c>
      <c r="N445" s="16">
        <f t="shared" si="2"/>
        <v>96.3622449</v>
      </c>
    </row>
    <row r="446" ht="15.75" customHeight="1">
      <c r="A446" s="9" t="s">
        <v>489</v>
      </c>
      <c r="B446" s="10" t="s">
        <v>38</v>
      </c>
      <c r="C446" s="11">
        <v>46051.0</v>
      </c>
      <c r="D446" s="11">
        <v>46097.0</v>
      </c>
      <c r="E446" s="10" t="s">
        <v>35</v>
      </c>
      <c r="F446" s="12">
        <v>2778.0</v>
      </c>
      <c r="G446" s="13">
        <v>614.0</v>
      </c>
      <c r="H446" s="13">
        <v>61.0</v>
      </c>
      <c r="I446" s="14">
        <v>3421.89</v>
      </c>
      <c r="J446" s="13">
        <v>5933.0</v>
      </c>
      <c r="K446" s="13">
        <v>77129.0</v>
      </c>
      <c r="L446" s="10" t="s">
        <v>17</v>
      </c>
      <c r="M446" s="15">
        <f t="shared" si="1"/>
        <v>0.2317818575</v>
      </c>
      <c r="N446" s="16">
        <f t="shared" si="2"/>
        <v>45.54098361</v>
      </c>
    </row>
    <row r="447" ht="15.75" customHeight="1">
      <c r="A447" s="9" t="s">
        <v>490</v>
      </c>
      <c r="B447" s="10" t="s">
        <v>47</v>
      </c>
      <c r="C447" s="11">
        <v>46168.0</v>
      </c>
      <c r="D447" s="11">
        <v>46196.0</v>
      </c>
      <c r="E447" s="10" t="s">
        <v>26</v>
      </c>
      <c r="F447" s="12">
        <v>4190.0</v>
      </c>
      <c r="G447" s="13">
        <v>691.0</v>
      </c>
      <c r="H447" s="13">
        <v>47.0</v>
      </c>
      <c r="I447" s="14">
        <v>28411.27</v>
      </c>
      <c r="J447" s="13">
        <v>6478.0</v>
      </c>
      <c r="K447" s="13">
        <v>71258.0</v>
      </c>
      <c r="L447" s="10" t="s">
        <v>17</v>
      </c>
      <c r="M447" s="15">
        <f t="shared" si="1"/>
        <v>5.780732697</v>
      </c>
      <c r="N447" s="16">
        <f t="shared" si="2"/>
        <v>89.14893617</v>
      </c>
    </row>
    <row r="448" ht="15.75" customHeight="1">
      <c r="A448" s="9" t="s">
        <v>491</v>
      </c>
      <c r="B448" s="10" t="s">
        <v>62</v>
      </c>
      <c r="C448" s="11">
        <v>46160.0</v>
      </c>
      <c r="D448" s="11">
        <v>46179.0</v>
      </c>
      <c r="E448" s="10" t="s">
        <v>35</v>
      </c>
      <c r="F448" s="12">
        <v>2102.0</v>
      </c>
      <c r="G448" s="13">
        <v>382.0</v>
      </c>
      <c r="H448" s="13">
        <v>110.0</v>
      </c>
      <c r="I448" s="14">
        <v>47921.58</v>
      </c>
      <c r="J448" s="13">
        <v>9497.0</v>
      </c>
      <c r="K448" s="13">
        <v>189940.0</v>
      </c>
      <c r="L448" s="10" t="s">
        <v>17</v>
      </c>
      <c r="M448" s="15">
        <f t="shared" si="1"/>
        <v>21.79808754</v>
      </c>
      <c r="N448" s="16">
        <f t="shared" si="2"/>
        <v>19.10909091</v>
      </c>
    </row>
    <row r="449" ht="15.75" customHeight="1">
      <c r="A449" s="9" t="s">
        <v>492</v>
      </c>
      <c r="B449" s="10" t="s">
        <v>47</v>
      </c>
      <c r="C449" s="11">
        <v>46159.0</v>
      </c>
      <c r="D449" s="11">
        <v>46166.0</v>
      </c>
      <c r="E449" s="10" t="s">
        <v>26</v>
      </c>
      <c r="F449" s="12">
        <v>9390.0</v>
      </c>
      <c r="G449" s="13">
        <v>1041.0</v>
      </c>
      <c r="H449" s="13">
        <v>63.0</v>
      </c>
      <c r="I449" s="14">
        <v>33066.7</v>
      </c>
      <c r="J449" s="13">
        <v>17880.0</v>
      </c>
      <c r="K449" s="13">
        <v>160920.0</v>
      </c>
      <c r="L449" s="10" t="s">
        <v>17</v>
      </c>
      <c r="M449" s="15">
        <f t="shared" si="1"/>
        <v>2.521480298</v>
      </c>
      <c r="N449" s="16">
        <f t="shared" si="2"/>
        <v>149.047619</v>
      </c>
    </row>
    <row r="450" ht="15.75" customHeight="1">
      <c r="A450" s="9" t="s">
        <v>493</v>
      </c>
      <c r="B450" s="10" t="s">
        <v>58</v>
      </c>
      <c r="C450" s="11">
        <v>45841.0</v>
      </c>
      <c r="D450" s="11">
        <v>45854.0</v>
      </c>
      <c r="E450" s="10" t="s">
        <v>16</v>
      </c>
      <c r="F450" s="12">
        <v>41193.0</v>
      </c>
      <c r="G450" s="13">
        <v>5813.0</v>
      </c>
      <c r="H450" s="13">
        <v>851.0</v>
      </c>
      <c r="I450" s="14">
        <v>38493.86</v>
      </c>
      <c r="J450" s="13">
        <v>28875.0</v>
      </c>
      <c r="K450" s="13">
        <v>404250.0</v>
      </c>
      <c r="L450" s="10" t="s">
        <v>17</v>
      </c>
      <c r="M450" s="15">
        <f t="shared" si="1"/>
        <v>-0.06552423956</v>
      </c>
      <c r="N450" s="16">
        <f t="shared" si="2"/>
        <v>48.40540541</v>
      </c>
    </row>
    <row r="451" ht="15.75" customHeight="1">
      <c r="A451" s="9" t="s">
        <v>494</v>
      </c>
      <c r="B451" s="10" t="s">
        <v>47</v>
      </c>
      <c r="C451" s="11">
        <v>46190.0</v>
      </c>
      <c r="D451" s="11">
        <v>46247.0</v>
      </c>
      <c r="E451" s="10" t="s">
        <v>26</v>
      </c>
      <c r="F451" s="12">
        <v>11710.0</v>
      </c>
      <c r="G451" s="13">
        <v>701.0</v>
      </c>
      <c r="H451" s="13">
        <v>54.0</v>
      </c>
      <c r="I451" s="14">
        <v>7279.73</v>
      </c>
      <c r="J451" s="13">
        <v>32371.0</v>
      </c>
      <c r="K451" s="13">
        <v>874017.0</v>
      </c>
      <c r="L451" s="10" t="s">
        <v>17</v>
      </c>
      <c r="M451" s="15">
        <f t="shared" si="1"/>
        <v>-0.3783321947</v>
      </c>
      <c r="N451" s="16">
        <f t="shared" si="2"/>
        <v>216.8518519</v>
      </c>
    </row>
    <row r="452" ht="15.75" customHeight="1">
      <c r="A452" s="9" t="s">
        <v>495</v>
      </c>
      <c r="B452" s="10" t="s">
        <v>52</v>
      </c>
      <c r="C452" s="11">
        <v>45941.0</v>
      </c>
      <c r="D452" s="11">
        <v>45980.0</v>
      </c>
      <c r="E452" s="10" t="s">
        <v>26</v>
      </c>
      <c r="F452" s="12">
        <v>14064.0</v>
      </c>
      <c r="G452" s="13">
        <v>2796.0</v>
      </c>
      <c r="H452" s="13">
        <v>118.0</v>
      </c>
      <c r="I452" s="14">
        <v>7796.47</v>
      </c>
      <c r="J452" s="13">
        <v>20693.0</v>
      </c>
      <c r="K452" s="13">
        <v>579404.0</v>
      </c>
      <c r="L452" s="10" t="s">
        <v>17</v>
      </c>
      <c r="M452" s="15">
        <f t="shared" si="1"/>
        <v>-0.4456434869</v>
      </c>
      <c r="N452" s="16">
        <f t="shared" si="2"/>
        <v>119.1864407</v>
      </c>
    </row>
    <row r="453" ht="15.75" customHeight="1">
      <c r="A453" s="9" t="s">
        <v>496</v>
      </c>
      <c r="B453" s="10" t="s">
        <v>56</v>
      </c>
      <c r="C453" s="11">
        <v>45984.0</v>
      </c>
      <c r="D453" s="11">
        <v>46025.0</v>
      </c>
      <c r="E453" s="10" t="s">
        <v>26</v>
      </c>
      <c r="F453" s="12">
        <v>29452.0</v>
      </c>
      <c r="G453" s="13">
        <v>1118.0</v>
      </c>
      <c r="H453" s="13">
        <v>57.0</v>
      </c>
      <c r="I453" s="14">
        <v>9648.99</v>
      </c>
      <c r="J453" s="13">
        <v>26128.0</v>
      </c>
      <c r="K453" s="13">
        <v>548688.0</v>
      </c>
      <c r="L453" s="10" t="s">
        <v>17</v>
      </c>
      <c r="M453" s="15">
        <f t="shared" si="1"/>
        <v>-0.6723825207</v>
      </c>
      <c r="N453" s="16">
        <v>165.82</v>
      </c>
    </row>
    <row r="454" ht="15.75" customHeight="1">
      <c r="A454" s="9" t="s">
        <v>497</v>
      </c>
      <c r="B454" s="10" t="s">
        <v>19</v>
      </c>
      <c r="C454" s="11">
        <v>45979.0</v>
      </c>
      <c r="D454" s="11">
        <v>46008.0</v>
      </c>
      <c r="E454" s="10" t="s">
        <v>16</v>
      </c>
      <c r="F454" s="12">
        <v>14815.0</v>
      </c>
      <c r="G454" s="13">
        <v>1605.0</v>
      </c>
      <c r="H454" s="13">
        <v>106.0</v>
      </c>
      <c r="I454" s="14">
        <v>12302.34</v>
      </c>
      <c r="J454" s="13">
        <v>22074.0</v>
      </c>
      <c r="K454" s="13">
        <v>485628.0</v>
      </c>
      <c r="L454" s="10" t="s">
        <v>17</v>
      </c>
      <c r="M454" s="15">
        <f t="shared" si="1"/>
        <v>-0.16960243</v>
      </c>
      <c r="N454" s="16">
        <v>139.76</v>
      </c>
    </row>
    <row r="455" ht="15.75" customHeight="1">
      <c r="A455" s="9" t="s">
        <v>498</v>
      </c>
      <c r="B455" s="10" t="s">
        <v>38</v>
      </c>
      <c r="C455" s="11">
        <v>46040.0</v>
      </c>
      <c r="D455" s="11">
        <v>46062.0</v>
      </c>
      <c r="E455" s="10" t="s">
        <v>16</v>
      </c>
      <c r="F455" s="12">
        <v>52643.0</v>
      </c>
      <c r="G455" s="13">
        <v>3692.0</v>
      </c>
      <c r="H455" s="13">
        <v>656.0</v>
      </c>
      <c r="I455" s="14">
        <v>87654.2</v>
      </c>
      <c r="J455" s="13">
        <v>52996.0</v>
      </c>
      <c r="K455" s="13">
        <v>635952.0</v>
      </c>
      <c r="L455" s="10" t="s">
        <v>17</v>
      </c>
      <c r="M455" s="15">
        <f t="shared" si="1"/>
        <v>0.6650684801</v>
      </c>
      <c r="N455" s="16">
        <v>80.25</v>
      </c>
    </row>
    <row r="456" ht="15.75" customHeight="1">
      <c r="A456" s="9" t="s">
        <v>499</v>
      </c>
      <c r="B456" s="10" t="s">
        <v>30</v>
      </c>
      <c r="C456" s="11">
        <v>45926.0</v>
      </c>
      <c r="D456" s="11">
        <v>45937.0</v>
      </c>
      <c r="E456" s="10" t="s">
        <v>26</v>
      </c>
      <c r="F456" s="12">
        <v>21618.0</v>
      </c>
      <c r="G456" s="13">
        <v>1215.0</v>
      </c>
      <c r="H456" s="13">
        <v>57.0</v>
      </c>
      <c r="I456" s="14">
        <v>11252.02</v>
      </c>
      <c r="J456" s="13">
        <v>57529.0</v>
      </c>
      <c r="K456" s="13">
        <v>1380696.0</v>
      </c>
      <c r="L456" s="10" t="s">
        <v>17</v>
      </c>
      <c r="M456" s="15">
        <f t="shared" si="1"/>
        <v>-0.4795068924</v>
      </c>
      <c r="N456" s="16">
        <v>379.26</v>
      </c>
    </row>
    <row r="457" ht="15.75" customHeight="1">
      <c r="A457" s="9" t="s">
        <v>500</v>
      </c>
      <c r="B457" s="10" t="s">
        <v>38</v>
      </c>
      <c r="C457" s="11">
        <v>46086.0</v>
      </c>
      <c r="D457" s="11">
        <v>46103.0</v>
      </c>
      <c r="E457" s="10" t="s">
        <v>26</v>
      </c>
      <c r="F457" s="12">
        <v>5508.0</v>
      </c>
      <c r="G457" s="13">
        <v>1034.0</v>
      </c>
      <c r="H457" s="13">
        <v>37.0</v>
      </c>
      <c r="I457" s="14">
        <v>5896.14</v>
      </c>
      <c r="J457" s="13">
        <v>11529.0</v>
      </c>
      <c r="K457" s="13">
        <v>265167.0</v>
      </c>
      <c r="L457" s="10" t="s">
        <v>17</v>
      </c>
      <c r="M457" s="15">
        <f t="shared" si="1"/>
        <v>0.07046840959</v>
      </c>
      <c r="N457" s="16">
        <v>148.86</v>
      </c>
    </row>
    <row r="458" ht="15.75" customHeight="1">
      <c r="A458" s="9" t="s">
        <v>501</v>
      </c>
      <c r="B458" s="10" t="s">
        <v>47</v>
      </c>
      <c r="C458" s="11">
        <v>45892.0</v>
      </c>
      <c r="D458" s="11">
        <v>45916.0</v>
      </c>
      <c r="E458" s="10" t="s">
        <v>26</v>
      </c>
      <c r="F458" s="12">
        <v>9337.0</v>
      </c>
      <c r="G458" s="13">
        <v>763.0</v>
      </c>
      <c r="H458" s="13">
        <v>52.0</v>
      </c>
      <c r="I458" s="14">
        <v>5950.44</v>
      </c>
      <c r="J458" s="13">
        <v>12334.0</v>
      </c>
      <c r="K458" s="13">
        <v>148008.0</v>
      </c>
      <c r="L458" s="10" t="s">
        <v>17</v>
      </c>
      <c r="M458" s="15">
        <f t="shared" si="1"/>
        <v>-0.3627032237</v>
      </c>
      <c r="N458" s="16">
        <v>179.56</v>
      </c>
    </row>
    <row r="459" ht="15.75" customHeight="1">
      <c r="A459" s="9" t="s">
        <v>502</v>
      </c>
      <c r="B459" s="10" t="s">
        <v>56</v>
      </c>
      <c r="C459" s="11">
        <v>46043.0</v>
      </c>
      <c r="D459" s="11">
        <v>46058.0</v>
      </c>
      <c r="E459" s="10" t="s">
        <v>16</v>
      </c>
      <c r="F459" s="12">
        <v>11498.0</v>
      </c>
      <c r="G459" s="13">
        <v>1289.0</v>
      </c>
      <c r="H459" s="13">
        <v>111.0</v>
      </c>
      <c r="I459" s="14">
        <v>22903.78</v>
      </c>
      <c r="J459" s="13">
        <v>17311.0</v>
      </c>
      <c r="K459" s="13">
        <v>380842.0</v>
      </c>
      <c r="L459" s="10" t="s">
        <v>17</v>
      </c>
      <c r="M459" s="15">
        <f t="shared" si="1"/>
        <v>0.9919794747</v>
      </c>
      <c r="N459" s="16">
        <v>103.59</v>
      </c>
    </row>
    <row r="460" ht="15.75" customHeight="1">
      <c r="A460" s="9" t="s">
        <v>503</v>
      </c>
      <c r="B460" s="10" t="s">
        <v>58</v>
      </c>
      <c r="C460" s="11">
        <v>46110.0</v>
      </c>
      <c r="D460" s="11">
        <v>46151.0</v>
      </c>
      <c r="E460" s="10" t="s">
        <v>16</v>
      </c>
      <c r="F460" s="12">
        <v>39349.0</v>
      </c>
      <c r="G460" s="13">
        <v>8201.0</v>
      </c>
      <c r="H460" s="13">
        <v>962.0</v>
      </c>
      <c r="I460" s="14">
        <v>77283.89</v>
      </c>
      <c r="J460" s="13">
        <v>64592.0</v>
      </c>
      <c r="K460" s="13">
        <v>1614800.0</v>
      </c>
      <c r="L460" s="10" t="s">
        <v>17</v>
      </c>
      <c r="M460" s="15">
        <f t="shared" si="1"/>
        <v>0.964062365</v>
      </c>
      <c r="N460" s="16">
        <v>40.9</v>
      </c>
    </row>
    <row r="461" ht="15.75" customHeight="1">
      <c r="A461" s="9" t="s">
        <v>504</v>
      </c>
      <c r="B461" s="10" t="s">
        <v>58</v>
      </c>
      <c r="C461" s="11">
        <v>46040.0</v>
      </c>
      <c r="D461" s="11">
        <v>46049.0</v>
      </c>
      <c r="E461" s="10" t="s">
        <v>16</v>
      </c>
      <c r="F461" s="12">
        <v>21410.0</v>
      </c>
      <c r="G461" s="13">
        <v>2581.0</v>
      </c>
      <c r="H461" s="13">
        <v>375.0</v>
      </c>
      <c r="I461" s="14">
        <v>33620.69</v>
      </c>
      <c r="J461" s="13">
        <v>15519.0</v>
      </c>
      <c r="K461" s="13">
        <v>170709.0</v>
      </c>
      <c r="L461" s="10" t="s">
        <v>17</v>
      </c>
      <c r="M461" s="15">
        <f t="shared" si="1"/>
        <v>0.570326483</v>
      </c>
      <c r="N461" s="16">
        <v>57.09</v>
      </c>
    </row>
    <row r="462" ht="15.75" customHeight="1">
      <c r="A462" s="9" t="s">
        <v>505</v>
      </c>
      <c r="B462" s="10" t="s">
        <v>75</v>
      </c>
      <c r="C462" s="11">
        <v>46191.0</v>
      </c>
      <c r="D462" s="11">
        <v>46209.0</v>
      </c>
      <c r="E462" s="10" t="s">
        <v>26</v>
      </c>
      <c r="F462" s="12">
        <v>8078.0</v>
      </c>
      <c r="G462" s="13">
        <v>1154.0</v>
      </c>
      <c r="H462" s="13">
        <v>44.0</v>
      </c>
      <c r="I462" s="14">
        <v>3930.47</v>
      </c>
      <c r="J462" s="13">
        <v>23642.0</v>
      </c>
      <c r="K462" s="13">
        <v>236420.0</v>
      </c>
      <c r="L462" s="10" t="s">
        <v>17</v>
      </c>
      <c r="M462" s="15">
        <f t="shared" si="1"/>
        <v>-0.5134352563</v>
      </c>
      <c r="N462" s="16">
        <v>183.59</v>
      </c>
    </row>
    <row r="463" ht="15.75" customHeight="1">
      <c r="A463" s="9" t="s">
        <v>506</v>
      </c>
      <c r="B463" s="10" t="s">
        <v>62</v>
      </c>
      <c r="C463" s="11">
        <v>46010.0</v>
      </c>
      <c r="D463" s="11">
        <v>46041.0</v>
      </c>
      <c r="E463" s="10" t="s">
        <v>26</v>
      </c>
      <c r="F463" s="12">
        <v>18578.0</v>
      </c>
      <c r="G463" s="13">
        <v>2288.0</v>
      </c>
      <c r="H463" s="13">
        <v>146.0</v>
      </c>
      <c r="I463" s="14">
        <v>18141.56</v>
      </c>
      <c r="J463" s="13">
        <v>20783.0</v>
      </c>
      <c r="K463" s="13">
        <v>561141.0</v>
      </c>
      <c r="L463" s="10" t="s">
        <v>17</v>
      </c>
      <c r="M463" s="15">
        <f t="shared" si="1"/>
        <v>-0.02349230272</v>
      </c>
      <c r="N463" s="16">
        <v>127.25</v>
      </c>
    </row>
    <row r="464" ht="15.75" customHeight="1">
      <c r="A464" s="9" t="s">
        <v>507</v>
      </c>
      <c r="B464" s="10" t="s">
        <v>62</v>
      </c>
      <c r="C464" s="11">
        <v>46049.0</v>
      </c>
      <c r="D464" s="11">
        <v>46106.0</v>
      </c>
      <c r="E464" s="10" t="s">
        <v>26</v>
      </c>
      <c r="F464" s="12">
        <v>9717.0</v>
      </c>
      <c r="G464" s="13">
        <v>812.0</v>
      </c>
      <c r="H464" s="13">
        <v>48.0</v>
      </c>
      <c r="I464" s="14">
        <v>14596.27</v>
      </c>
      <c r="J464" s="13">
        <v>25240.0</v>
      </c>
      <c r="K464" s="13">
        <v>504800.0</v>
      </c>
      <c r="L464" s="10" t="s">
        <v>17</v>
      </c>
      <c r="M464" s="15">
        <f t="shared" si="1"/>
        <v>0.502137491</v>
      </c>
      <c r="N464" s="16">
        <v>202.44</v>
      </c>
    </row>
    <row r="465" ht="15.75" customHeight="1">
      <c r="A465" s="9" t="s">
        <v>508</v>
      </c>
      <c r="B465" s="10" t="s">
        <v>56</v>
      </c>
      <c r="C465" s="11">
        <v>46069.0</v>
      </c>
      <c r="D465" s="11">
        <v>46128.0</v>
      </c>
      <c r="E465" s="10" t="s">
        <v>16</v>
      </c>
      <c r="F465" s="12">
        <v>41531.0</v>
      </c>
      <c r="G465" s="13">
        <v>4334.0</v>
      </c>
      <c r="H465" s="13">
        <v>315.0</v>
      </c>
      <c r="I465" s="14">
        <v>33797.82</v>
      </c>
      <c r="J465" s="13">
        <v>29447.0</v>
      </c>
      <c r="K465" s="13">
        <v>883410.0</v>
      </c>
      <c r="L465" s="10" t="s">
        <v>17</v>
      </c>
      <c r="M465" s="15">
        <f t="shared" si="1"/>
        <v>-0.1862025957</v>
      </c>
      <c r="N465" s="16">
        <v>131.84</v>
      </c>
    </row>
    <row r="466" ht="15.75" customHeight="1">
      <c r="A466" s="9" t="s">
        <v>509</v>
      </c>
      <c r="B466" s="10" t="s">
        <v>15</v>
      </c>
      <c r="C466" s="11">
        <v>46016.0</v>
      </c>
      <c r="D466" s="11">
        <v>46037.0</v>
      </c>
      <c r="E466" s="10" t="s">
        <v>16</v>
      </c>
      <c r="F466" s="12">
        <v>124221.0</v>
      </c>
      <c r="G466" s="13">
        <v>950.0</v>
      </c>
      <c r="H466" s="13">
        <v>167.0</v>
      </c>
      <c r="I466" s="14">
        <v>19245.73</v>
      </c>
      <c r="J466" s="13">
        <v>14236.0</v>
      </c>
      <c r="K466" s="13">
        <v>242012.0</v>
      </c>
      <c r="L466" s="10" t="s">
        <v>17</v>
      </c>
      <c r="M466" s="15">
        <f t="shared" si="1"/>
        <v>-0.8450686277</v>
      </c>
      <c r="N466" s="16">
        <v>85.16</v>
      </c>
    </row>
    <row r="467" ht="15.75" customHeight="1">
      <c r="A467" s="9" t="s">
        <v>510</v>
      </c>
      <c r="B467" s="10" t="s">
        <v>58</v>
      </c>
      <c r="C467" s="11">
        <v>46142.0</v>
      </c>
      <c r="D467" s="11">
        <v>46152.0</v>
      </c>
      <c r="E467" s="10" t="s">
        <v>26</v>
      </c>
      <c r="F467" s="12">
        <v>4243.0</v>
      </c>
      <c r="G467" s="13">
        <v>440.0</v>
      </c>
      <c r="H467" s="13">
        <v>21.0</v>
      </c>
      <c r="I467" s="14">
        <v>3509.09</v>
      </c>
      <c r="J467" s="13">
        <v>14000.0</v>
      </c>
      <c r="K467" s="13">
        <v>350000.0</v>
      </c>
      <c r="L467" s="10" t="s">
        <v>17</v>
      </c>
      <c r="M467" s="15">
        <f t="shared" si="1"/>
        <v>-0.172969597</v>
      </c>
      <c r="N467" s="16">
        <v>202.05</v>
      </c>
    </row>
    <row r="468" ht="15.75" customHeight="1">
      <c r="A468" s="9" t="s">
        <v>511</v>
      </c>
      <c r="B468" s="10" t="s">
        <v>75</v>
      </c>
      <c r="C468" s="11">
        <v>46138.0</v>
      </c>
      <c r="D468" s="11">
        <v>46146.0</v>
      </c>
      <c r="E468" s="10" t="s">
        <v>26</v>
      </c>
      <c r="F468" s="12">
        <v>12029.0</v>
      </c>
      <c r="G468" s="13">
        <v>1243.0</v>
      </c>
      <c r="H468" s="13">
        <v>41.0</v>
      </c>
      <c r="I468" s="14">
        <v>8004.64</v>
      </c>
      <c r="J468" s="13">
        <v>20600.0</v>
      </c>
      <c r="K468" s="13">
        <v>350200.0</v>
      </c>
      <c r="L468" s="10" t="s">
        <v>17</v>
      </c>
      <c r="M468" s="15">
        <f t="shared" si="1"/>
        <v>-0.3345548258</v>
      </c>
      <c r="N468" s="16">
        <v>293.39</v>
      </c>
    </row>
    <row r="469" ht="15.75" customHeight="1">
      <c r="A469" s="9" t="s">
        <v>512</v>
      </c>
      <c r="B469" s="10" t="s">
        <v>19</v>
      </c>
      <c r="C469" s="11">
        <v>45910.0</v>
      </c>
      <c r="D469" s="11">
        <v>45956.0</v>
      </c>
      <c r="E469" s="10" t="s">
        <v>35</v>
      </c>
      <c r="F469" s="12">
        <v>12434.0</v>
      </c>
      <c r="G469" s="13">
        <v>338.0</v>
      </c>
      <c r="H469" s="13">
        <v>50.0</v>
      </c>
      <c r="I469" s="14">
        <v>4714.74</v>
      </c>
      <c r="J469" s="13">
        <v>8231.0</v>
      </c>
      <c r="K469" s="13">
        <v>172851.0</v>
      </c>
      <c r="L469" s="10" t="s">
        <v>17</v>
      </c>
      <c r="M469" s="15">
        <f t="shared" si="1"/>
        <v>-0.6208187229</v>
      </c>
      <c r="N469" s="16">
        <v>48.68</v>
      </c>
    </row>
    <row r="470" ht="15.75" customHeight="1">
      <c r="A470" s="9" t="s">
        <v>513</v>
      </c>
      <c r="B470" s="10" t="s">
        <v>52</v>
      </c>
      <c r="C470" s="11">
        <v>46030.0</v>
      </c>
      <c r="D470" s="11">
        <v>46041.0</v>
      </c>
      <c r="E470" s="10" t="s">
        <v>16</v>
      </c>
      <c r="F470" s="12">
        <v>47690.0</v>
      </c>
      <c r="G470" s="13">
        <v>5485.0</v>
      </c>
      <c r="H470" s="13">
        <v>661.0</v>
      </c>
      <c r="I470" s="14">
        <v>412543.88</v>
      </c>
      <c r="J470" s="13">
        <v>44755.0</v>
      </c>
      <c r="K470" s="13">
        <v>402795.0</v>
      </c>
      <c r="L470" s="10" t="s">
        <v>17</v>
      </c>
      <c r="M470" s="15">
        <f t="shared" si="1"/>
        <v>7.650532187</v>
      </c>
      <c r="N470" s="16">
        <v>72.15</v>
      </c>
    </row>
    <row r="471" ht="15.75" customHeight="1">
      <c r="A471" s="9" t="s">
        <v>514</v>
      </c>
      <c r="B471" s="10" t="s">
        <v>62</v>
      </c>
      <c r="C471" s="11">
        <v>45888.0</v>
      </c>
      <c r="D471" s="11">
        <v>45943.0</v>
      </c>
      <c r="E471" s="10" t="s">
        <v>26</v>
      </c>
      <c r="F471" s="12">
        <v>12021.0</v>
      </c>
      <c r="G471" s="13">
        <v>674.0</v>
      </c>
      <c r="H471" s="13">
        <v>36.0</v>
      </c>
      <c r="I471" s="14">
        <v>22517.87</v>
      </c>
      <c r="J471" s="13">
        <v>16827.0</v>
      </c>
      <c r="K471" s="13">
        <v>420675.0</v>
      </c>
      <c r="L471" s="10" t="s">
        <v>17</v>
      </c>
      <c r="M471" s="15">
        <f t="shared" si="1"/>
        <v>0.8732110473</v>
      </c>
      <c r="N471" s="16">
        <v>333.92</v>
      </c>
    </row>
    <row r="472" ht="15.75" customHeight="1">
      <c r="A472" s="9" t="s">
        <v>515</v>
      </c>
      <c r="B472" s="10" t="s">
        <v>38</v>
      </c>
      <c r="C472" s="11">
        <v>45918.0</v>
      </c>
      <c r="D472" s="11">
        <v>45940.0</v>
      </c>
      <c r="E472" s="10" t="s">
        <v>16</v>
      </c>
      <c r="F472" s="12">
        <v>48172.0</v>
      </c>
      <c r="G472" s="13">
        <v>11740.0</v>
      </c>
      <c r="H472" s="13">
        <v>1061.0</v>
      </c>
      <c r="I472" s="14">
        <v>470706.11</v>
      </c>
      <c r="J472" s="13">
        <v>32348.0</v>
      </c>
      <c r="K472" s="13">
        <v>452872.0</v>
      </c>
      <c r="L472" s="10" t="s">
        <v>17</v>
      </c>
      <c r="M472" s="15">
        <f t="shared" si="1"/>
        <v>8.77136324</v>
      </c>
      <c r="N472" s="16">
        <v>45.4</v>
      </c>
    </row>
    <row r="473" ht="15.75" customHeight="1">
      <c r="A473" s="9" t="s">
        <v>516</v>
      </c>
      <c r="B473" s="10" t="s">
        <v>62</v>
      </c>
      <c r="C473" s="11">
        <v>45901.0</v>
      </c>
      <c r="D473" s="11">
        <v>45923.0</v>
      </c>
      <c r="E473" s="10" t="s">
        <v>26</v>
      </c>
      <c r="F473" s="12">
        <v>15756.0</v>
      </c>
      <c r="G473" s="13">
        <v>2030.0</v>
      </c>
      <c r="H473" s="13">
        <v>99.0</v>
      </c>
      <c r="I473" s="14">
        <v>17901.47</v>
      </c>
      <c r="J473" s="13">
        <v>38389.0</v>
      </c>
      <c r="K473" s="13">
        <v>460668.0</v>
      </c>
      <c r="L473" s="10" t="s">
        <v>17</v>
      </c>
      <c r="M473" s="15">
        <f t="shared" si="1"/>
        <v>0.1361684438</v>
      </c>
      <c r="N473" s="16">
        <v>159.15</v>
      </c>
    </row>
    <row r="474" ht="15.75" customHeight="1">
      <c r="A474" s="9" t="s">
        <v>517</v>
      </c>
      <c r="B474" s="10" t="s">
        <v>56</v>
      </c>
      <c r="C474" s="11">
        <v>46100.0</v>
      </c>
      <c r="D474" s="11">
        <v>46150.0</v>
      </c>
      <c r="E474" s="10" t="s">
        <v>26</v>
      </c>
      <c r="F474" s="12">
        <v>20413.0</v>
      </c>
      <c r="G474" s="13">
        <v>2365.0</v>
      </c>
      <c r="H474" s="13">
        <v>75.0</v>
      </c>
      <c r="I474" s="14">
        <v>4966.21</v>
      </c>
      <c r="J474" s="13">
        <v>34699.0</v>
      </c>
      <c r="K474" s="13">
        <v>763378.0</v>
      </c>
      <c r="L474" s="10" t="s">
        <v>17</v>
      </c>
      <c r="M474" s="15">
        <f t="shared" si="1"/>
        <v>-0.7567133689</v>
      </c>
      <c r="N474" s="16">
        <v>272.17</v>
      </c>
    </row>
    <row r="475" ht="15.75" customHeight="1">
      <c r="A475" s="9" t="s">
        <v>518</v>
      </c>
      <c r="B475" s="10" t="s">
        <v>19</v>
      </c>
      <c r="C475" s="11">
        <v>46038.0</v>
      </c>
      <c r="D475" s="11">
        <v>46041.0</v>
      </c>
      <c r="E475" s="10" t="s">
        <v>26</v>
      </c>
      <c r="F475" s="12">
        <v>21523.0</v>
      </c>
      <c r="G475" s="13">
        <v>1176.0</v>
      </c>
      <c r="H475" s="13">
        <v>1179.0</v>
      </c>
      <c r="I475" s="14">
        <v>5915.15</v>
      </c>
      <c r="J475" s="13">
        <v>31325.0</v>
      </c>
      <c r="K475" s="13">
        <v>501200.0</v>
      </c>
      <c r="L475" s="10" t="s">
        <v>17</v>
      </c>
      <c r="M475" s="15">
        <f t="shared" si="1"/>
        <v>-0.7251707476</v>
      </c>
      <c r="N475" s="16">
        <v>18.26</v>
      </c>
    </row>
    <row r="476" ht="15.75" customHeight="1">
      <c r="A476" s="9" t="s">
        <v>519</v>
      </c>
      <c r="B476" s="10" t="s">
        <v>62</v>
      </c>
      <c r="C476" s="11">
        <v>46200.0</v>
      </c>
      <c r="D476" s="11">
        <v>46236.0</v>
      </c>
      <c r="E476" s="10" t="s">
        <v>26</v>
      </c>
      <c r="F476" s="12">
        <v>15299.0</v>
      </c>
      <c r="G476" s="13">
        <v>2382.0</v>
      </c>
      <c r="H476" s="13">
        <v>120.0</v>
      </c>
      <c r="I476" s="14">
        <v>19655.19</v>
      </c>
      <c r="J476" s="13">
        <v>37803.0</v>
      </c>
      <c r="K476" s="13">
        <v>1096287.0</v>
      </c>
      <c r="L476" s="10" t="s">
        <v>17</v>
      </c>
      <c r="M476" s="15">
        <f t="shared" si="1"/>
        <v>0.2847369109</v>
      </c>
      <c r="N476" s="16">
        <v>127.49</v>
      </c>
    </row>
    <row r="477" ht="15.75" customHeight="1">
      <c r="A477" s="9" t="s">
        <v>520</v>
      </c>
      <c r="B477" s="10" t="s">
        <v>15</v>
      </c>
      <c r="C477" s="11">
        <v>46080.0</v>
      </c>
      <c r="D477" s="11">
        <v>46121.0</v>
      </c>
      <c r="E477" s="10" t="s">
        <v>16</v>
      </c>
      <c r="F477" s="12">
        <v>50186.0</v>
      </c>
      <c r="G477" s="13">
        <v>4143.0</v>
      </c>
      <c r="H477" s="13">
        <v>304.0</v>
      </c>
      <c r="I477" s="14">
        <v>45691.75</v>
      </c>
      <c r="J477" s="13">
        <v>41527.0</v>
      </c>
      <c r="K477" s="13">
        <v>830540.0</v>
      </c>
      <c r="L477" s="10" t="s">
        <v>17</v>
      </c>
      <c r="M477" s="15">
        <f t="shared" si="1"/>
        <v>-0.08955186705</v>
      </c>
      <c r="N477" s="16">
        <v>165.09</v>
      </c>
    </row>
    <row r="478" ht="15.75" customHeight="1">
      <c r="A478" s="9" t="s">
        <v>521</v>
      </c>
      <c r="B478" s="10" t="s">
        <v>28</v>
      </c>
      <c r="C478" s="11">
        <v>45893.0</v>
      </c>
      <c r="D478" s="11">
        <v>45927.0</v>
      </c>
      <c r="E478" s="10" t="s">
        <v>26</v>
      </c>
      <c r="F478" s="12">
        <v>24760.0</v>
      </c>
      <c r="G478" s="13">
        <v>1256.0</v>
      </c>
      <c r="H478" s="13">
        <v>61.0</v>
      </c>
      <c r="I478" s="14">
        <v>12186.84</v>
      </c>
      <c r="J478" s="13">
        <v>32753.0</v>
      </c>
      <c r="K478" s="13">
        <v>687813.0</v>
      </c>
      <c r="L478" s="10" t="s">
        <v>17</v>
      </c>
      <c r="M478" s="15">
        <f t="shared" si="1"/>
        <v>-0.5078012924</v>
      </c>
      <c r="N478" s="16">
        <v>405.9</v>
      </c>
    </row>
    <row r="479" ht="15.75" customHeight="1">
      <c r="A479" s="9" t="s">
        <v>522</v>
      </c>
      <c r="B479" s="10" t="s">
        <v>58</v>
      </c>
      <c r="C479" s="11">
        <v>45876.0</v>
      </c>
      <c r="D479" s="11">
        <v>45907.0</v>
      </c>
      <c r="E479" s="10" t="s">
        <v>35</v>
      </c>
      <c r="F479" s="12">
        <v>3866.0</v>
      </c>
      <c r="G479" s="13">
        <v>205.0</v>
      </c>
      <c r="H479" s="13">
        <v>45.0</v>
      </c>
      <c r="I479" s="14">
        <v>4892.98</v>
      </c>
      <c r="J479" s="13">
        <v>8702.0</v>
      </c>
      <c r="K479" s="13">
        <v>139232.0</v>
      </c>
      <c r="L479" s="10" t="s">
        <v>17</v>
      </c>
      <c r="M479" s="15">
        <f t="shared" si="1"/>
        <v>0.2656440766</v>
      </c>
      <c r="N479" s="16">
        <v>85.91</v>
      </c>
    </row>
    <row r="480" ht="15.75" customHeight="1">
      <c r="A480" s="9" t="s">
        <v>523</v>
      </c>
      <c r="B480" s="10" t="s">
        <v>62</v>
      </c>
      <c r="C480" s="11">
        <v>46109.0</v>
      </c>
      <c r="D480" s="11">
        <v>46163.0</v>
      </c>
      <c r="E480" s="10" t="s">
        <v>26</v>
      </c>
      <c r="F480" s="12">
        <v>8801.0</v>
      </c>
      <c r="G480" s="13">
        <v>454.0</v>
      </c>
      <c r="H480" s="13">
        <v>11.0</v>
      </c>
      <c r="I480" s="14">
        <v>12162.37</v>
      </c>
      <c r="J480" s="13">
        <v>27980.0</v>
      </c>
      <c r="K480" s="13">
        <v>503640.0</v>
      </c>
      <c r="L480" s="10" t="s">
        <v>17</v>
      </c>
      <c r="M480" s="15">
        <f t="shared" si="1"/>
        <v>0.3819304624</v>
      </c>
      <c r="N480" s="16">
        <v>800.09</v>
      </c>
    </row>
    <row r="481" ht="15.75" customHeight="1">
      <c r="A481" s="9" t="s">
        <v>525</v>
      </c>
      <c r="B481" s="10" t="s">
        <v>52</v>
      </c>
      <c r="C481" s="11">
        <v>45936.0</v>
      </c>
      <c r="D481" s="11">
        <v>45992.0</v>
      </c>
      <c r="E481" s="10" t="s">
        <v>16</v>
      </c>
      <c r="F481" s="12">
        <v>20597.0</v>
      </c>
      <c r="G481" s="13">
        <v>2138.0</v>
      </c>
      <c r="H481" s="13">
        <v>265.0</v>
      </c>
      <c r="I481" s="14">
        <v>41602.58</v>
      </c>
      <c r="J481" s="13">
        <v>21152.0</v>
      </c>
      <c r="K481" s="13">
        <v>211520.0</v>
      </c>
      <c r="L481" s="10" t="s">
        <v>17</v>
      </c>
      <c r="M481" s="15">
        <f t="shared" si="1"/>
        <v>1.019836869</v>
      </c>
      <c r="N481" s="16">
        <v>77.72</v>
      </c>
    </row>
    <row r="482" ht="15.75" customHeight="1">
      <c r="A482" s="9" t="s">
        <v>529</v>
      </c>
      <c r="B482" s="10" t="s">
        <v>47</v>
      </c>
      <c r="C482" s="11">
        <v>45957.0</v>
      </c>
      <c r="D482" s="11">
        <v>45963.0</v>
      </c>
      <c r="E482" s="10" t="s">
        <v>26</v>
      </c>
      <c r="F482" s="12">
        <v>22209.0</v>
      </c>
      <c r="G482" s="13">
        <v>1295.0</v>
      </c>
      <c r="H482" s="13">
        <v>67.0</v>
      </c>
      <c r="I482" s="14">
        <v>27143.1</v>
      </c>
      <c r="J482" s="13">
        <v>70836.0</v>
      </c>
      <c r="K482" s="13">
        <v>1204212.0</v>
      </c>
      <c r="L482" s="10" t="s">
        <v>17</v>
      </c>
      <c r="M482" s="15">
        <f t="shared" si="1"/>
        <v>0.2221666892</v>
      </c>
      <c r="N482" s="16">
        <v>331.48</v>
      </c>
    </row>
    <row r="483" ht="15.75" customHeight="1">
      <c r="A483" s="9" t="s">
        <v>530</v>
      </c>
      <c r="B483" s="10" t="s">
        <v>62</v>
      </c>
      <c r="C483" s="11">
        <v>46043.0</v>
      </c>
      <c r="D483" s="11">
        <v>46085.0</v>
      </c>
      <c r="E483" s="10" t="s">
        <v>16</v>
      </c>
      <c r="F483" s="12">
        <v>10712.0</v>
      </c>
      <c r="G483" s="13">
        <v>803.0</v>
      </c>
      <c r="H483" s="13">
        <v>97.0</v>
      </c>
      <c r="I483" s="14">
        <v>65797.18</v>
      </c>
      <c r="J483" s="13">
        <v>7696.0</v>
      </c>
      <c r="K483" s="13">
        <v>69264.0</v>
      </c>
      <c r="L483" s="10" t="s">
        <v>17</v>
      </c>
      <c r="M483" s="15">
        <f t="shared" si="1"/>
        <v>5.142380508</v>
      </c>
      <c r="N483" s="16">
        <v>110.43</v>
      </c>
    </row>
    <row r="484" ht="15.75" customHeight="1">
      <c r="A484" s="9" t="s">
        <v>531</v>
      </c>
      <c r="B484" s="10" t="s">
        <v>75</v>
      </c>
      <c r="C484" s="11">
        <v>45939.0</v>
      </c>
      <c r="D484" s="11">
        <v>45976.0</v>
      </c>
      <c r="E484" s="10" t="s">
        <v>26</v>
      </c>
      <c r="F484" s="12">
        <v>22427.0</v>
      </c>
      <c r="G484" s="13">
        <v>1418.0</v>
      </c>
      <c r="H484" s="13">
        <v>101.0</v>
      </c>
      <c r="I484" s="14">
        <v>12592.23</v>
      </c>
      <c r="J484" s="13">
        <v>31624.0</v>
      </c>
      <c r="K484" s="13">
        <v>379488.0</v>
      </c>
      <c r="L484" s="10" t="s">
        <v>17</v>
      </c>
      <c r="M484" s="15">
        <f t="shared" si="1"/>
        <v>-0.4385236545</v>
      </c>
      <c r="N484" s="16">
        <v>222.05</v>
      </c>
    </row>
    <row r="485" ht="15.75" customHeight="1">
      <c r="A485" s="9" t="s">
        <v>532</v>
      </c>
      <c r="B485" s="10" t="s">
        <v>15</v>
      </c>
      <c r="C485" s="11">
        <v>45931.0</v>
      </c>
      <c r="D485" s="11">
        <v>45952.0</v>
      </c>
      <c r="E485" s="10" t="s">
        <v>26</v>
      </c>
      <c r="F485" s="12">
        <v>43932.0</v>
      </c>
      <c r="G485" s="13">
        <v>215.0</v>
      </c>
      <c r="H485" s="13">
        <v>8.0</v>
      </c>
      <c r="I485" s="14">
        <v>1575.01</v>
      </c>
      <c r="J485" s="13">
        <v>5944.0</v>
      </c>
      <c r="K485" s="13">
        <v>148600.0</v>
      </c>
      <c r="L485" s="10" t="s">
        <v>17</v>
      </c>
      <c r="M485" s="15">
        <f t="shared" si="1"/>
        <v>-0.964148912</v>
      </c>
      <c r="N485" s="16">
        <v>491.5</v>
      </c>
    </row>
    <row r="486" ht="15.75" customHeight="1">
      <c r="A486" s="9" t="s">
        <v>533</v>
      </c>
      <c r="B486" s="10" t="s">
        <v>19</v>
      </c>
      <c r="C486" s="11">
        <v>45993.0</v>
      </c>
      <c r="D486" s="11">
        <v>46019.0</v>
      </c>
      <c r="E486" s="10" t="s">
        <v>16</v>
      </c>
      <c r="F486" s="12">
        <v>58131.0</v>
      </c>
      <c r="G486" s="13">
        <v>7351.0</v>
      </c>
      <c r="H486" s="13">
        <v>894.0</v>
      </c>
      <c r="I486" s="14">
        <v>171206.58</v>
      </c>
      <c r="J486" s="13">
        <v>42463.0</v>
      </c>
      <c r="K486" s="13">
        <v>1146501.0</v>
      </c>
      <c r="L486" s="10" t="s">
        <v>17</v>
      </c>
      <c r="M486" s="15">
        <f t="shared" si="1"/>
        <v>1.945185529</v>
      </c>
      <c r="N486" s="16">
        <v>65.02</v>
      </c>
    </row>
    <row r="487" ht="15.75" customHeight="1">
      <c r="A487" s="9" t="s">
        <v>534</v>
      </c>
      <c r="B487" s="10" t="s">
        <v>52</v>
      </c>
      <c r="C487" s="11">
        <v>46122.0</v>
      </c>
      <c r="D487" s="11">
        <v>46138.0</v>
      </c>
      <c r="E487" s="10" t="s">
        <v>26</v>
      </c>
      <c r="F487" s="12">
        <v>6522.0</v>
      </c>
      <c r="G487" s="13">
        <v>1039.0</v>
      </c>
      <c r="H487" s="13">
        <v>43.0</v>
      </c>
      <c r="I487" s="14">
        <v>9844.92</v>
      </c>
      <c r="J487" s="13">
        <v>8257.0</v>
      </c>
      <c r="K487" s="13">
        <v>74313.0</v>
      </c>
      <c r="L487" s="10" t="s">
        <v>17</v>
      </c>
      <c r="M487" s="15">
        <f t="shared" si="1"/>
        <v>0.5094940202</v>
      </c>
      <c r="N487" s="16">
        <v>151.67</v>
      </c>
    </row>
    <row r="488" ht="15.75" customHeight="1">
      <c r="A488" s="9" t="s">
        <v>535</v>
      </c>
      <c r="B488" s="10" t="s">
        <v>15</v>
      </c>
      <c r="C488" s="11">
        <v>46186.0</v>
      </c>
      <c r="D488" s="11">
        <v>46207.0</v>
      </c>
      <c r="E488" s="10" t="s">
        <v>16</v>
      </c>
      <c r="F488" s="12">
        <v>42046.0</v>
      </c>
      <c r="G488" s="13">
        <v>3211.0</v>
      </c>
      <c r="H488" s="13">
        <v>354.0</v>
      </c>
      <c r="I488" s="14">
        <v>43870.59</v>
      </c>
      <c r="J488" s="13">
        <v>39199.0</v>
      </c>
      <c r="K488" s="13">
        <v>313592.0</v>
      </c>
      <c r="L488" s="10" t="s">
        <v>17</v>
      </c>
      <c r="M488" s="15">
        <f t="shared" si="1"/>
        <v>0.04339509109</v>
      </c>
      <c r="N488" s="16">
        <v>118.77</v>
      </c>
    </row>
    <row r="489" ht="15.75" customHeight="1">
      <c r="A489" s="9" t="s">
        <v>536</v>
      </c>
      <c r="B489" s="10" t="s">
        <v>28</v>
      </c>
      <c r="C489" s="11">
        <v>45990.0</v>
      </c>
      <c r="D489" s="11">
        <v>46014.0</v>
      </c>
      <c r="E489" s="10" t="s">
        <v>35</v>
      </c>
      <c r="F489" s="12">
        <v>4032.0</v>
      </c>
      <c r="G489" s="13">
        <v>485.0</v>
      </c>
      <c r="H489" s="13">
        <v>52.0</v>
      </c>
      <c r="I489" s="14">
        <v>12859.8</v>
      </c>
      <c r="J489" s="13">
        <v>16390.0</v>
      </c>
      <c r="K489" s="13">
        <v>213070.0</v>
      </c>
      <c r="L489" s="10" t="s">
        <v>17</v>
      </c>
      <c r="M489" s="15">
        <f t="shared" si="1"/>
        <v>2.189434524</v>
      </c>
      <c r="N489" s="16">
        <v>77.54</v>
      </c>
    </row>
    <row r="490" ht="15.75" customHeight="1">
      <c r="A490" s="9" t="s">
        <v>537</v>
      </c>
      <c r="B490" s="10" t="s">
        <v>47</v>
      </c>
      <c r="C490" s="11">
        <v>46167.0</v>
      </c>
      <c r="D490" s="11">
        <v>46197.0</v>
      </c>
      <c r="E490" s="10" t="s">
        <v>16</v>
      </c>
      <c r="F490" s="12">
        <v>25552.0</v>
      </c>
      <c r="G490" s="13">
        <v>1538.0</v>
      </c>
      <c r="H490" s="13">
        <v>105.0</v>
      </c>
      <c r="I490" s="14">
        <v>10764.9</v>
      </c>
      <c r="J490" s="13">
        <v>30914.0</v>
      </c>
      <c r="K490" s="13">
        <v>401882.0</v>
      </c>
      <c r="L490" s="10" t="s">
        <v>17</v>
      </c>
      <c r="M490" s="15">
        <f t="shared" si="1"/>
        <v>-0.5787061678</v>
      </c>
      <c r="N490" s="16">
        <v>243.35</v>
      </c>
    </row>
    <row r="491" ht="15.75" customHeight="1">
      <c r="A491" s="9" t="s">
        <v>538</v>
      </c>
      <c r="B491" s="10" t="s">
        <v>75</v>
      </c>
      <c r="C491" s="11">
        <v>45976.0</v>
      </c>
      <c r="D491" s="11">
        <v>45991.0</v>
      </c>
      <c r="E491" s="10" t="s">
        <v>16</v>
      </c>
      <c r="F491" s="12">
        <v>44699.0</v>
      </c>
      <c r="G491" s="13">
        <v>5665.0</v>
      </c>
      <c r="H491" s="13">
        <v>499.0</v>
      </c>
      <c r="I491" s="14">
        <v>86394.69</v>
      </c>
      <c r="J491" s="13">
        <v>60076.0</v>
      </c>
      <c r="K491" s="13">
        <v>1261596.0</v>
      </c>
      <c r="L491" s="10" t="s">
        <v>17</v>
      </c>
      <c r="M491" s="15">
        <f t="shared" si="1"/>
        <v>0.9328103537</v>
      </c>
      <c r="N491" s="16">
        <v>89.58</v>
      </c>
    </row>
    <row r="492" ht="15.75" customHeight="1">
      <c r="A492" s="9" t="s">
        <v>539</v>
      </c>
      <c r="B492" s="10" t="s">
        <v>52</v>
      </c>
      <c r="C492" s="11">
        <v>46148.0</v>
      </c>
      <c r="D492" s="11">
        <v>46165.0</v>
      </c>
      <c r="E492" s="10" t="s">
        <v>35</v>
      </c>
      <c r="F492" s="12">
        <v>4477.0</v>
      </c>
      <c r="G492" s="13">
        <v>259.0</v>
      </c>
      <c r="H492" s="13">
        <v>66.0</v>
      </c>
      <c r="I492" s="14">
        <v>16153.13</v>
      </c>
      <c r="J492" s="13">
        <v>19429.0</v>
      </c>
      <c r="K492" s="13">
        <v>524583.0</v>
      </c>
      <c r="L492" s="10" t="s">
        <v>17</v>
      </c>
      <c r="M492" s="15">
        <f t="shared" si="1"/>
        <v>2.608025463</v>
      </c>
      <c r="N492" s="16">
        <v>67.83</v>
      </c>
    </row>
    <row r="493" ht="15.75" customHeight="1">
      <c r="A493" s="9" t="s">
        <v>540</v>
      </c>
      <c r="B493" s="10" t="s">
        <v>38</v>
      </c>
      <c r="C493" s="11">
        <v>46097.0</v>
      </c>
      <c r="D493" s="11">
        <v>46109.0</v>
      </c>
      <c r="E493" s="10" t="s">
        <v>16</v>
      </c>
      <c r="F493" s="12">
        <v>44749.0</v>
      </c>
      <c r="G493" s="13">
        <v>6241.0</v>
      </c>
      <c r="H493" s="13">
        <v>713.0</v>
      </c>
      <c r="I493" s="14">
        <v>35179.98</v>
      </c>
      <c r="J493" s="13">
        <v>32392.0</v>
      </c>
      <c r="K493" s="13">
        <v>745016.0</v>
      </c>
      <c r="L493" s="10" t="s">
        <v>17</v>
      </c>
      <c r="M493" s="15">
        <f t="shared" si="1"/>
        <v>-0.2138376277</v>
      </c>
      <c r="N493" s="16">
        <v>62.76</v>
      </c>
    </row>
    <row r="494" ht="15.75" customHeight="1">
      <c r="A494" s="9" t="s">
        <v>541</v>
      </c>
      <c r="B494" s="10" t="s">
        <v>28</v>
      </c>
      <c r="C494" s="11">
        <v>45924.0</v>
      </c>
      <c r="D494" s="11">
        <v>45931.0</v>
      </c>
      <c r="E494" s="10" t="s">
        <v>26</v>
      </c>
      <c r="F494" s="12">
        <v>6837.0</v>
      </c>
      <c r="G494" s="13">
        <v>669.0</v>
      </c>
      <c r="H494" s="13">
        <v>34.0</v>
      </c>
      <c r="I494" s="14">
        <v>3658.59</v>
      </c>
      <c r="J494" s="13">
        <v>11070.0</v>
      </c>
      <c r="K494" s="13">
        <v>199260.0</v>
      </c>
      <c r="L494" s="10" t="s">
        <v>17</v>
      </c>
      <c r="M494" s="15">
        <f t="shared" si="1"/>
        <v>-0.4648837209</v>
      </c>
      <c r="N494" s="16">
        <v>201.09</v>
      </c>
    </row>
    <row r="495" ht="15.75" customHeight="1">
      <c r="A495" s="9" t="s">
        <v>542</v>
      </c>
      <c r="B495" s="10" t="s">
        <v>75</v>
      </c>
      <c r="C495" s="11">
        <v>46020.0</v>
      </c>
      <c r="D495" s="11">
        <v>46051.0</v>
      </c>
      <c r="E495" s="10" t="s">
        <v>26</v>
      </c>
      <c r="F495" s="12">
        <v>15898.0</v>
      </c>
      <c r="G495" s="13">
        <v>1449.0</v>
      </c>
      <c r="H495" s="13">
        <v>83.0</v>
      </c>
      <c r="I495" s="14">
        <v>15663.86</v>
      </c>
      <c r="J495" s="13">
        <v>21356.0</v>
      </c>
      <c r="K495" s="13">
        <v>512544.0</v>
      </c>
      <c r="L495" s="10" t="s">
        <v>17</v>
      </c>
      <c r="M495" s="15">
        <f t="shared" si="1"/>
        <v>-0.0147276387</v>
      </c>
      <c r="N495" s="16">
        <v>191.54</v>
      </c>
    </row>
    <row r="496" ht="15.75" customHeight="1">
      <c r="A496" s="9" t="s">
        <v>543</v>
      </c>
      <c r="B496" s="10" t="s">
        <v>38</v>
      </c>
      <c r="C496" s="11">
        <v>46071.0</v>
      </c>
      <c r="D496" s="11">
        <v>46098.0</v>
      </c>
      <c r="E496" s="10" t="s">
        <v>35</v>
      </c>
      <c r="F496" s="12">
        <v>3425.0</v>
      </c>
      <c r="G496" s="13">
        <v>255.0</v>
      </c>
      <c r="H496" s="13">
        <v>47.0</v>
      </c>
      <c r="I496" s="14">
        <v>8771.97</v>
      </c>
      <c r="J496" s="13">
        <v>10441.0</v>
      </c>
      <c r="K496" s="13">
        <v>271466.0</v>
      </c>
      <c r="L496" s="10" t="s">
        <v>17</v>
      </c>
      <c r="M496" s="15">
        <f t="shared" si="1"/>
        <v>1.561159124</v>
      </c>
      <c r="N496" s="16">
        <v>72.87</v>
      </c>
    </row>
    <row r="497" ht="15.75" customHeight="1">
      <c r="A497" s="9" t="s">
        <v>544</v>
      </c>
      <c r="B497" s="10" t="s">
        <v>25</v>
      </c>
      <c r="C497" s="11">
        <v>45930.0</v>
      </c>
      <c r="D497" s="11">
        <v>45942.0</v>
      </c>
      <c r="E497" s="10" t="s">
        <v>26</v>
      </c>
      <c r="F497" s="12">
        <v>3874.0</v>
      </c>
      <c r="G497" s="13">
        <v>195.0</v>
      </c>
      <c r="H497" s="13">
        <v>13.0</v>
      </c>
      <c r="I497" s="14">
        <v>1094.71</v>
      </c>
      <c r="J497" s="13">
        <v>5229.0</v>
      </c>
      <c r="K497" s="13">
        <v>57519.0</v>
      </c>
      <c r="L497" s="10" t="s">
        <v>17</v>
      </c>
      <c r="M497" s="15">
        <f t="shared" si="1"/>
        <v>-0.71742127</v>
      </c>
      <c r="N497" s="16">
        <v>298.0</v>
      </c>
    </row>
    <row r="498" ht="15.75" customHeight="1">
      <c r="A498" s="9" t="s">
        <v>545</v>
      </c>
      <c r="B498" s="10" t="s">
        <v>47</v>
      </c>
      <c r="C498" s="11">
        <v>45971.0</v>
      </c>
      <c r="D498" s="11">
        <v>46012.0</v>
      </c>
      <c r="E498" s="10" t="s">
        <v>26</v>
      </c>
      <c r="F498" s="12">
        <v>5977.0</v>
      </c>
      <c r="G498" s="13">
        <v>955.0</v>
      </c>
      <c r="H498" s="13">
        <v>956.0</v>
      </c>
      <c r="I498" s="14">
        <v>24965.98</v>
      </c>
      <c r="J498" s="13">
        <v>8540.0</v>
      </c>
      <c r="K498" s="13">
        <v>119560.0</v>
      </c>
      <c r="L498" s="10" t="s">
        <v>17</v>
      </c>
      <c r="M498" s="15">
        <f t="shared" si="1"/>
        <v>3.177008533</v>
      </c>
      <c r="N498" s="16">
        <v>6.25</v>
      </c>
    </row>
    <row r="499" ht="15.75" customHeight="1">
      <c r="A499" s="9" t="s">
        <v>546</v>
      </c>
      <c r="B499" s="10" t="s">
        <v>52</v>
      </c>
      <c r="C499" s="11">
        <v>46066.0</v>
      </c>
      <c r="D499" s="11">
        <v>46102.0</v>
      </c>
      <c r="E499" s="10" t="s">
        <v>16</v>
      </c>
      <c r="F499" s="12">
        <v>15269.0</v>
      </c>
      <c r="G499" s="13">
        <v>2653.0</v>
      </c>
      <c r="H499" s="13">
        <v>419.0</v>
      </c>
      <c r="I499" s="14">
        <v>78071.28</v>
      </c>
      <c r="J499" s="13">
        <v>19207.0</v>
      </c>
      <c r="K499" s="13">
        <v>307312.0</v>
      </c>
      <c r="L499" s="10" t="s">
        <v>17</v>
      </c>
      <c r="M499" s="15">
        <f t="shared" si="1"/>
        <v>4.11305783</v>
      </c>
      <c r="N499" s="16">
        <v>36.44</v>
      </c>
    </row>
    <row r="500" ht="15.75" customHeight="1">
      <c r="A500" s="9" t="s">
        <v>547</v>
      </c>
      <c r="B500" s="10" t="s">
        <v>15</v>
      </c>
      <c r="C500" s="11">
        <v>45952.0</v>
      </c>
      <c r="D500" s="11">
        <v>46001.0</v>
      </c>
      <c r="E500" s="10" t="s">
        <v>35</v>
      </c>
      <c r="F500" s="12">
        <v>1409.0</v>
      </c>
      <c r="G500" s="13">
        <v>167.0</v>
      </c>
      <c r="H500" s="13">
        <v>27.0</v>
      </c>
      <c r="I500" s="14">
        <v>4241.16</v>
      </c>
      <c r="J500" s="13">
        <v>4302.0</v>
      </c>
      <c r="K500" s="13">
        <v>90342.0</v>
      </c>
      <c r="L500" s="10" t="s">
        <v>17</v>
      </c>
      <c r="M500" s="15">
        <f t="shared" si="1"/>
        <v>2.010049681</v>
      </c>
      <c r="N500" s="16">
        <v>52.19</v>
      </c>
    </row>
    <row r="501" ht="15.75" customHeight="1">
      <c r="A501" s="9" t="s">
        <v>548</v>
      </c>
      <c r="B501" s="10" t="s">
        <v>52</v>
      </c>
      <c r="C501" s="11">
        <v>46177.0</v>
      </c>
      <c r="D501" s="11">
        <v>46233.0</v>
      </c>
      <c r="E501" s="10" t="s">
        <v>35</v>
      </c>
      <c r="F501" s="12">
        <v>1091.0</v>
      </c>
      <c r="G501" s="13">
        <v>137.0</v>
      </c>
      <c r="H501" s="13">
        <v>39.0</v>
      </c>
      <c r="I501" s="14">
        <v>6421.65</v>
      </c>
      <c r="J501" s="13">
        <v>2952.0</v>
      </c>
      <c r="K501" s="13">
        <v>38376.0</v>
      </c>
      <c r="L501" s="10" t="s">
        <v>17</v>
      </c>
      <c r="M501" s="15">
        <f t="shared" si="1"/>
        <v>4.886021998</v>
      </c>
      <c r="N501" s="16">
        <v>27.97</v>
      </c>
    </row>
    <row r="502" ht="15.75" customHeight="1">
      <c r="A502" s="9" t="s">
        <v>549</v>
      </c>
      <c r="B502" s="10" t="s">
        <v>38</v>
      </c>
      <c r="C502" s="11">
        <v>45931.0</v>
      </c>
      <c r="D502" s="11">
        <v>45990.0</v>
      </c>
      <c r="E502" s="10" t="s">
        <v>16</v>
      </c>
      <c r="F502" s="12">
        <v>26667.0</v>
      </c>
      <c r="G502" s="13">
        <v>1815.0</v>
      </c>
      <c r="H502" s="13">
        <v>289.0</v>
      </c>
      <c r="I502" s="14">
        <v>39619.46</v>
      </c>
      <c r="J502" s="13">
        <v>19393.0</v>
      </c>
      <c r="K502" s="13">
        <v>329681.0</v>
      </c>
      <c r="L502" s="10" t="s">
        <v>17</v>
      </c>
      <c r="M502" s="15">
        <f t="shared" si="1"/>
        <v>0.4857111786</v>
      </c>
      <c r="N502" s="16">
        <v>92.27</v>
      </c>
    </row>
    <row r="503" ht="15.75" customHeight="1">
      <c r="A503" s="9" t="s">
        <v>550</v>
      </c>
      <c r="B503" s="10" t="s">
        <v>38</v>
      </c>
      <c r="C503" s="11">
        <v>46076.0</v>
      </c>
      <c r="D503" s="11">
        <v>46099.0</v>
      </c>
      <c r="E503" s="10" t="s">
        <v>26</v>
      </c>
      <c r="F503" s="12">
        <v>24146.0</v>
      </c>
      <c r="G503" s="13">
        <v>1580.0</v>
      </c>
      <c r="H503" s="13">
        <v>42.0</v>
      </c>
      <c r="I503" s="14">
        <v>7578.82</v>
      </c>
      <c r="J503" s="13">
        <v>33621.0</v>
      </c>
      <c r="K503" s="13">
        <v>571557.0</v>
      </c>
      <c r="L503" s="10" t="s">
        <v>17</v>
      </c>
      <c r="M503" s="15">
        <f t="shared" si="1"/>
        <v>-0.6861252381</v>
      </c>
      <c r="N503" s="16">
        <v>574.9</v>
      </c>
    </row>
    <row r="504" ht="15.75" customHeight="1">
      <c r="A504" s="9" t="s">
        <v>551</v>
      </c>
      <c r="B504" s="10" t="s">
        <v>19</v>
      </c>
      <c r="C504" s="11">
        <v>46004.0</v>
      </c>
      <c r="D504" s="11">
        <v>46023.0</v>
      </c>
      <c r="E504" s="10" t="s">
        <v>26</v>
      </c>
      <c r="F504" s="12">
        <v>24618.0</v>
      </c>
      <c r="G504" s="13">
        <v>2223.0</v>
      </c>
      <c r="H504" s="13">
        <v>86.0</v>
      </c>
      <c r="I504" s="14">
        <v>11182.25</v>
      </c>
      <c r="J504" s="13">
        <v>46029.0</v>
      </c>
      <c r="K504" s="13">
        <v>782493.0</v>
      </c>
      <c r="L504" s="10" t="s">
        <v>17</v>
      </c>
      <c r="M504" s="15">
        <f t="shared" si="1"/>
        <v>-0.5457693558</v>
      </c>
      <c r="N504" s="16">
        <v>286.26</v>
      </c>
    </row>
    <row r="505" ht="15.75" customHeight="1">
      <c r="A505" s="9" t="s">
        <v>552</v>
      </c>
      <c r="B505" s="10" t="s">
        <v>19</v>
      </c>
      <c r="C505" s="11">
        <v>46159.0</v>
      </c>
      <c r="D505" s="11">
        <v>46169.0</v>
      </c>
      <c r="E505" s="10" t="s">
        <v>26</v>
      </c>
      <c r="F505" s="12">
        <v>22596.0</v>
      </c>
      <c r="G505" s="13">
        <v>1788.0</v>
      </c>
      <c r="H505" s="13">
        <v>101.0</v>
      </c>
      <c r="I505" s="14">
        <v>18472.38</v>
      </c>
      <c r="J505" s="13">
        <v>59852.0</v>
      </c>
      <c r="K505" s="13">
        <v>1496300.0</v>
      </c>
      <c r="L505" s="10" t="s">
        <v>17</v>
      </c>
      <c r="M505" s="15">
        <f t="shared" si="1"/>
        <v>-0.1824933617</v>
      </c>
      <c r="N505" s="16">
        <v>223.72</v>
      </c>
    </row>
    <row r="506" ht="15.75" customHeight="1">
      <c r="A506" s="9" t="s">
        <v>553</v>
      </c>
      <c r="B506" s="10" t="s">
        <v>58</v>
      </c>
      <c r="C506" s="11">
        <v>46087.0</v>
      </c>
      <c r="D506" s="11">
        <v>46092.0</v>
      </c>
      <c r="E506" s="10" t="s">
        <v>26</v>
      </c>
      <c r="F506" s="12">
        <v>7642.0</v>
      </c>
      <c r="G506" s="13">
        <v>541.0</v>
      </c>
      <c r="H506" s="13">
        <v>20.0</v>
      </c>
      <c r="I506" s="14">
        <v>2885.7</v>
      </c>
      <c r="J506" s="13">
        <v>24295.0</v>
      </c>
      <c r="K506" s="13">
        <v>388720.0</v>
      </c>
      <c r="L506" s="10" t="s">
        <v>17</v>
      </c>
      <c r="M506" s="15">
        <f t="shared" si="1"/>
        <v>-0.6223894269</v>
      </c>
      <c r="N506" s="16">
        <v>382.1</v>
      </c>
    </row>
    <row r="507" ht="15.75" customHeight="1">
      <c r="A507" s="9" t="s">
        <v>554</v>
      </c>
      <c r="B507" s="10" t="s">
        <v>15</v>
      </c>
      <c r="C507" s="11">
        <v>46051.0</v>
      </c>
      <c r="D507" s="11">
        <v>46055.0</v>
      </c>
      <c r="E507" s="10" t="s">
        <v>35</v>
      </c>
      <c r="F507" s="12">
        <v>2920.0</v>
      </c>
      <c r="G507" s="13">
        <v>49.0</v>
      </c>
      <c r="H507" s="13">
        <v>12.0</v>
      </c>
      <c r="I507" s="14">
        <v>784.96</v>
      </c>
      <c r="J507" s="13">
        <v>2709.0</v>
      </c>
      <c r="K507" s="13">
        <v>56889.0</v>
      </c>
      <c r="L507" s="10" t="s">
        <v>17</v>
      </c>
      <c r="M507" s="15">
        <f t="shared" si="1"/>
        <v>-0.7311780822</v>
      </c>
      <c r="N507" s="16">
        <v>76.67</v>
      </c>
    </row>
    <row r="508" ht="15.75" customHeight="1">
      <c r="A508" s="9" t="s">
        <v>555</v>
      </c>
      <c r="B508" s="10" t="s">
        <v>58</v>
      </c>
      <c r="C508" s="11">
        <v>46174.0</v>
      </c>
      <c r="D508" s="11">
        <v>46213.0</v>
      </c>
      <c r="E508" s="10" t="s">
        <v>26</v>
      </c>
      <c r="F508" s="12">
        <v>17946.0</v>
      </c>
      <c r="G508" s="13">
        <v>2375.0</v>
      </c>
      <c r="H508" s="13">
        <v>101.0</v>
      </c>
      <c r="I508" s="14">
        <v>11130.54</v>
      </c>
      <c r="J508" s="13">
        <v>32177.0</v>
      </c>
      <c r="K508" s="13">
        <v>740071.0</v>
      </c>
      <c r="L508" s="10" t="s">
        <v>17</v>
      </c>
      <c r="M508" s="15">
        <f t="shared" si="1"/>
        <v>-0.3797759947</v>
      </c>
      <c r="N508" s="16">
        <v>177.68</v>
      </c>
    </row>
    <row r="509" ht="15.75" customHeight="1">
      <c r="A509" s="9" t="s">
        <v>556</v>
      </c>
      <c r="B509" s="10" t="s">
        <v>52</v>
      </c>
      <c r="C509" s="11">
        <v>45953.0</v>
      </c>
      <c r="D509" s="11">
        <v>45992.0</v>
      </c>
      <c r="E509" s="10" t="s">
        <v>26</v>
      </c>
      <c r="F509" s="12">
        <v>3315.0</v>
      </c>
      <c r="G509" s="13">
        <v>334.0</v>
      </c>
      <c r="H509" s="13">
        <v>14.0</v>
      </c>
      <c r="I509" s="14">
        <v>2110.16</v>
      </c>
      <c r="J509" s="13">
        <v>7546.0</v>
      </c>
      <c r="K509" s="13">
        <v>98098.0</v>
      </c>
      <c r="L509" s="10" t="s">
        <v>17</v>
      </c>
      <c r="M509" s="15">
        <f t="shared" si="1"/>
        <v>-0.3634509804</v>
      </c>
      <c r="N509" s="16">
        <v>236.79</v>
      </c>
    </row>
    <row r="510" ht="15.75" customHeight="1">
      <c r="A510" s="9" t="s">
        <v>557</v>
      </c>
      <c r="B510" s="10" t="s">
        <v>28</v>
      </c>
      <c r="C510" s="11">
        <v>46126.0</v>
      </c>
      <c r="D510" s="11">
        <v>46179.0</v>
      </c>
      <c r="E510" s="10" t="s">
        <v>35</v>
      </c>
      <c r="F510" s="12">
        <v>4803.0</v>
      </c>
      <c r="G510" s="13">
        <v>332.0</v>
      </c>
      <c r="H510" s="13">
        <v>69.0</v>
      </c>
      <c r="I510" s="14">
        <v>7531.74</v>
      </c>
      <c r="J510" s="13">
        <v>18504.0</v>
      </c>
      <c r="K510" s="13">
        <v>203544.0</v>
      </c>
      <c r="L510" s="10" t="s">
        <v>17</v>
      </c>
      <c r="M510" s="15">
        <f t="shared" si="1"/>
        <v>0.5681324172</v>
      </c>
      <c r="N510" s="16">
        <v>69.61</v>
      </c>
    </row>
    <row r="511" ht="15.75" customHeight="1">
      <c r="A511" s="9" t="s">
        <v>558</v>
      </c>
      <c r="B511" s="10" t="s">
        <v>62</v>
      </c>
      <c r="C511" s="11">
        <v>45901.0</v>
      </c>
      <c r="D511" s="11">
        <v>45914.0</v>
      </c>
      <c r="E511" s="10" t="s">
        <v>26</v>
      </c>
      <c r="F511" s="12">
        <v>8967.0</v>
      </c>
      <c r="G511" s="13">
        <v>1938.0</v>
      </c>
      <c r="H511" s="13">
        <v>1940.0</v>
      </c>
      <c r="I511" s="14">
        <v>19734.86</v>
      </c>
      <c r="J511" s="13">
        <v>10153.0</v>
      </c>
      <c r="K511" s="13">
        <v>203060.0</v>
      </c>
      <c r="L511" s="10" t="s">
        <v>17</v>
      </c>
      <c r="M511" s="15">
        <f t="shared" si="1"/>
        <v>1.200831939</v>
      </c>
      <c r="N511" s="16">
        <v>4.62</v>
      </c>
    </row>
    <row r="512" ht="15.75" customHeight="1">
      <c r="A512" s="9" t="s">
        <v>559</v>
      </c>
      <c r="B512" s="10" t="s">
        <v>25</v>
      </c>
      <c r="C512" s="11">
        <v>46004.0</v>
      </c>
      <c r="D512" s="11">
        <v>46046.0</v>
      </c>
      <c r="E512" s="10" t="s">
        <v>26</v>
      </c>
      <c r="F512" s="12">
        <v>14677.0</v>
      </c>
      <c r="G512" s="13">
        <v>1698.0</v>
      </c>
      <c r="H512" s="13">
        <v>91.0</v>
      </c>
      <c r="I512" s="14">
        <v>16406.06</v>
      </c>
      <c r="J512" s="13">
        <v>36732.0</v>
      </c>
      <c r="K512" s="13">
        <v>514248.0</v>
      </c>
      <c r="L512" s="10" t="s">
        <v>17</v>
      </c>
      <c r="M512" s="15">
        <f t="shared" si="1"/>
        <v>0.1178074538</v>
      </c>
      <c r="N512" s="16">
        <v>161.29</v>
      </c>
    </row>
    <row r="513" ht="15.75" customHeight="1">
      <c r="A513" s="9" t="s">
        <v>560</v>
      </c>
      <c r="B513" s="10" t="s">
        <v>62</v>
      </c>
      <c r="C513" s="11">
        <v>46081.0</v>
      </c>
      <c r="D513" s="11">
        <v>46084.0</v>
      </c>
      <c r="E513" s="10" t="s">
        <v>26</v>
      </c>
      <c r="F513" s="12">
        <v>12910.0</v>
      </c>
      <c r="G513" s="13">
        <v>2544.0</v>
      </c>
      <c r="H513" s="13">
        <v>114.0</v>
      </c>
      <c r="I513" s="14">
        <v>23355.35</v>
      </c>
      <c r="J513" s="13">
        <v>33084.0</v>
      </c>
      <c r="K513" s="13">
        <v>297756.0</v>
      </c>
      <c r="L513" s="10" t="s">
        <v>17</v>
      </c>
      <c r="M513" s="15">
        <f t="shared" si="1"/>
        <v>0.8090898528</v>
      </c>
      <c r="N513" s="16">
        <v>113.25</v>
      </c>
    </row>
    <row r="514" ht="15.75" customHeight="1">
      <c r="A514" s="9" t="s">
        <v>561</v>
      </c>
      <c r="B514" s="10" t="s">
        <v>25</v>
      </c>
      <c r="C514" s="11">
        <v>45954.0</v>
      </c>
      <c r="D514" s="11">
        <v>45979.0</v>
      </c>
      <c r="E514" s="10" t="s">
        <v>16</v>
      </c>
      <c r="F514" s="12">
        <v>48210.0</v>
      </c>
      <c r="G514" s="13">
        <v>5640.0</v>
      </c>
      <c r="H514" s="13">
        <v>292.0</v>
      </c>
      <c r="I514" s="14">
        <v>58645.6</v>
      </c>
      <c r="J514" s="13">
        <v>69603.0</v>
      </c>
      <c r="K514" s="13">
        <v>1740075.0</v>
      </c>
      <c r="L514" s="10" t="s">
        <v>17</v>
      </c>
      <c r="M514" s="15">
        <f t="shared" si="1"/>
        <v>0.2164613151</v>
      </c>
      <c r="N514" s="16">
        <v>165.1</v>
      </c>
    </row>
    <row r="515" ht="15.75" customHeight="1">
      <c r="A515" s="9" t="s">
        <v>562</v>
      </c>
      <c r="B515" s="10" t="s">
        <v>15</v>
      </c>
      <c r="C515" s="11">
        <v>45949.0</v>
      </c>
      <c r="D515" s="11">
        <v>45969.0</v>
      </c>
      <c r="E515" s="10" t="s">
        <v>26</v>
      </c>
      <c r="F515" s="12">
        <v>8343.0</v>
      </c>
      <c r="G515" s="13">
        <v>498.0</v>
      </c>
      <c r="H515" s="13">
        <v>17.0</v>
      </c>
      <c r="I515" s="14">
        <v>2725.6</v>
      </c>
      <c r="J515" s="13">
        <v>23085.0</v>
      </c>
      <c r="K515" s="13">
        <v>623295.0</v>
      </c>
      <c r="L515" s="10" t="s">
        <v>17</v>
      </c>
      <c r="M515" s="15">
        <f t="shared" si="1"/>
        <v>-0.6733069639</v>
      </c>
      <c r="N515" s="16">
        <v>490.76</v>
      </c>
    </row>
    <row r="516" ht="15.75" customHeight="1">
      <c r="A516" s="9" t="s">
        <v>563</v>
      </c>
      <c r="B516" s="10" t="s">
        <v>38</v>
      </c>
      <c r="C516" s="11">
        <v>45899.0</v>
      </c>
      <c r="D516" s="11">
        <v>45917.0</v>
      </c>
      <c r="E516" s="10" t="s">
        <v>26</v>
      </c>
      <c r="F516" s="12">
        <v>20854.0</v>
      </c>
      <c r="G516" s="13">
        <v>1363.0</v>
      </c>
      <c r="H516" s="13">
        <v>59.0</v>
      </c>
      <c r="I516" s="14">
        <v>7037.22</v>
      </c>
      <c r="J516" s="13">
        <v>27283.0</v>
      </c>
      <c r="K516" s="13">
        <v>354679.0</v>
      </c>
      <c r="L516" s="10" t="s">
        <v>17</v>
      </c>
      <c r="M516" s="15">
        <f t="shared" si="1"/>
        <v>-0.6625481922</v>
      </c>
      <c r="N516" s="16">
        <v>353.46</v>
      </c>
    </row>
    <row r="517" ht="15.75" customHeight="1">
      <c r="A517" s="9" t="s">
        <v>564</v>
      </c>
      <c r="B517" s="10" t="s">
        <v>15</v>
      </c>
      <c r="C517" s="11">
        <v>46089.0</v>
      </c>
      <c r="D517" s="11">
        <v>46136.0</v>
      </c>
      <c r="E517" s="10" t="s">
        <v>16</v>
      </c>
      <c r="F517" s="12">
        <v>58705.0</v>
      </c>
      <c r="G517" s="13">
        <v>3191.0</v>
      </c>
      <c r="H517" s="13">
        <v>263.0</v>
      </c>
      <c r="I517" s="14">
        <v>38262.51</v>
      </c>
      <c r="J517" s="13">
        <v>94648.0</v>
      </c>
      <c r="K517" s="13">
        <v>1987608.0</v>
      </c>
      <c r="L517" s="10" t="s">
        <v>17</v>
      </c>
      <c r="M517" s="15">
        <f t="shared" si="1"/>
        <v>-0.3482240014</v>
      </c>
      <c r="N517" s="16">
        <v>223.21</v>
      </c>
    </row>
    <row r="518" ht="15.75" customHeight="1">
      <c r="A518" s="9" t="s">
        <v>565</v>
      </c>
      <c r="B518" s="10" t="s">
        <v>28</v>
      </c>
      <c r="C518" s="11">
        <v>46195.0</v>
      </c>
      <c r="D518" s="11">
        <v>46243.0</v>
      </c>
      <c r="E518" s="10" t="s">
        <v>26</v>
      </c>
      <c r="F518" s="12">
        <v>10791.0</v>
      </c>
      <c r="G518" s="13">
        <v>820.0</v>
      </c>
      <c r="H518" s="13">
        <v>29.0</v>
      </c>
      <c r="I518" s="14">
        <v>1618.0</v>
      </c>
      <c r="J518" s="13">
        <v>32275.0</v>
      </c>
      <c r="K518" s="13">
        <v>903700.0</v>
      </c>
      <c r="L518" s="10" t="s">
        <v>17</v>
      </c>
      <c r="M518" s="15">
        <f t="shared" si="1"/>
        <v>-0.8500602354</v>
      </c>
      <c r="N518" s="16">
        <v>372.1</v>
      </c>
    </row>
    <row r="519" ht="15.75" customHeight="1">
      <c r="A519" s="9" t="s">
        <v>566</v>
      </c>
      <c r="B519" s="10" t="s">
        <v>28</v>
      </c>
      <c r="C519" s="11">
        <v>45917.0</v>
      </c>
      <c r="D519" s="11">
        <v>45965.0</v>
      </c>
      <c r="E519" s="10" t="s">
        <v>16</v>
      </c>
      <c r="F519" s="12">
        <v>55247.0</v>
      </c>
      <c r="G519" s="13">
        <v>10374.0</v>
      </c>
      <c r="H519" s="13">
        <v>757.0</v>
      </c>
      <c r="I519" s="14">
        <v>129372.44</v>
      </c>
      <c r="J519" s="13">
        <v>40895.0</v>
      </c>
      <c r="K519" s="13">
        <v>654320.0</v>
      </c>
      <c r="L519" s="10" t="s">
        <v>17</v>
      </c>
      <c r="M519" s="15">
        <f t="shared" si="1"/>
        <v>1.341709776</v>
      </c>
      <c r="N519" s="16">
        <v>72.98</v>
      </c>
    </row>
    <row r="520" ht="15.75" customHeight="1">
      <c r="A520" s="9" t="s">
        <v>567</v>
      </c>
      <c r="B520" s="10" t="s">
        <v>56</v>
      </c>
      <c r="C520" s="11">
        <v>46066.0</v>
      </c>
      <c r="D520" s="11">
        <v>46071.0</v>
      </c>
      <c r="E520" s="10" t="s">
        <v>26</v>
      </c>
      <c r="F520" s="12">
        <v>11528.0</v>
      </c>
      <c r="G520" s="13">
        <v>1092.0</v>
      </c>
      <c r="H520" s="13">
        <v>61.0</v>
      </c>
      <c r="I520" s="14">
        <v>10534.29</v>
      </c>
      <c r="J520" s="13">
        <v>16163.0</v>
      </c>
      <c r="K520" s="13">
        <v>355586.0</v>
      </c>
      <c r="L520" s="10" t="s">
        <v>17</v>
      </c>
      <c r="M520" s="15">
        <f t="shared" si="1"/>
        <v>-0.08619968772</v>
      </c>
      <c r="N520" s="16">
        <v>188.98</v>
      </c>
    </row>
    <row r="521" ht="15.75" customHeight="1">
      <c r="A521" s="9" t="s">
        <v>568</v>
      </c>
      <c r="B521" s="10" t="s">
        <v>15</v>
      </c>
      <c r="C521" s="11">
        <v>45885.0</v>
      </c>
      <c r="D521" s="11">
        <v>45899.0</v>
      </c>
      <c r="E521" s="10" t="s">
        <v>26</v>
      </c>
      <c r="F521" s="12">
        <v>5331.0</v>
      </c>
      <c r="G521" s="13">
        <v>274.0</v>
      </c>
      <c r="H521" s="13">
        <v>8.0</v>
      </c>
      <c r="I521" s="14">
        <v>1559.53</v>
      </c>
      <c r="J521" s="13">
        <v>8142.0</v>
      </c>
      <c r="K521" s="13">
        <v>122130.0</v>
      </c>
      <c r="L521" s="10" t="s">
        <v>17</v>
      </c>
      <c r="M521" s="15">
        <f t="shared" si="1"/>
        <v>-0.7074601388</v>
      </c>
      <c r="N521" s="16">
        <v>666.38</v>
      </c>
    </row>
    <row r="522" ht="15.75" customHeight="1">
      <c r="A522" s="9" t="s">
        <v>569</v>
      </c>
      <c r="B522" s="10" t="s">
        <v>47</v>
      </c>
      <c r="C522" s="11">
        <v>45906.0</v>
      </c>
      <c r="D522" s="11">
        <v>45928.0</v>
      </c>
      <c r="E522" s="10" t="s">
        <v>35</v>
      </c>
      <c r="F522" s="12">
        <v>1236.0</v>
      </c>
      <c r="G522" s="13">
        <v>146.0</v>
      </c>
      <c r="H522" s="13">
        <v>25.0</v>
      </c>
      <c r="I522" s="14">
        <v>33539.4</v>
      </c>
      <c r="J522" s="13">
        <v>4934.0</v>
      </c>
      <c r="K522" s="13">
        <v>78944.0</v>
      </c>
      <c r="L522" s="10" t="s">
        <v>17</v>
      </c>
      <c r="M522" s="15">
        <f t="shared" si="1"/>
        <v>26.13543689</v>
      </c>
      <c r="N522" s="16">
        <v>49.44</v>
      </c>
    </row>
    <row r="523" ht="15.75" customHeight="1">
      <c r="A523" s="9" t="s">
        <v>570</v>
      </c>
      <c r="B523" s="10" t="s">
        <v>58</v>
      </c>
      <c r="C523" s="11">
        <v>46167.0</v>
      </c>
      <c r="D523" s="11">
        <v>46203.0</v>
      </c>
      <c r="E523" s="10" t="s">
        <v>26</v>
      </c>
      <c r="F523" s="12">
        <v>17234.0</v>
      </c>
      <c r="G523" s="13">
        <v>2561.0</v>
      </c>
      <c r="H523" s="13">
        <v>178.0</v>
      </c>
      <c r="I523" s="14">
        <v>38614.64</v>
      </c>
      <c r="J523" s="13">
        <v>24197.0</v>
      </c>
      <c r="K523" s="13">
        <v>677516.0</v>
      </c>
      <c r="L523" s="10" t="s">
        <v>17</v>
      </c>
      <c r="M523" s="15">
        <f t="shared" si="1"/>
        <v>1.2406081</v>
      </c>
      <c r="N523" s="16">
        <v>96.82</v>
      </c>
    </row>
    <row r="524" ht="15.75" customHeight="1">
      <c r="A524" s="9" t="s">
        <v>571</v>
      </c>
      <c r="B524" s="10" t="s">
        <v>28</v>
      </c>
      <c r="C524" s="11">
        <v>46127.0</v>
      </c>
      <c r="D524" s="11">
        <v>46154.0</v>
      </c>
      <c r="E524" s="10" t="s">
        <v>26</v>
      </c>
      <c r="F524" s="12">
        <v>24071.0</v>
      </c>
      <c r="G524" s="13">
        <v>1581.0</v>
      </c>
      <c r="H524" s="13">
        <v>87.0</v>
      </c>
      <c r="I524" s="14">
        <v>7044.19</v>
      </c>
      <c r="J524" s="13">
        <v>75149.0</v>
      </c>
      <c r="K524" s="13">
        <v>1427831.0</v>
      </c>
      <c r="L524" s="10" t="s">
        <v>17</v>
      </c>
      <c r="M524" s="15">
        <f t="shared" si="1"/>
        <v>-0.7073578165</v>
      </c>
      <c r="N524" s="16">
        <v>276.68</v>
      </c>
    </row>
    <row r="525" ht="15.75" customHeight="1">
      <c r="A525" s="9" t="s">
        <v>572</v>
      </c>
      <c r="B525" s="10" t="s">
        <v>38</v>
      </c>
      <c r="C525" s="11">
        <v>46154.0</v>
      </c>
      <c r="D525" s="11">
        <v>46186.0</v>
      </c>
      <c r="E525" s="10" t="s">
        <v>16</v>
      </c>
      <c r="F525" s="12">
        <v>45900.0</v>
      </c>
      <c r="G525" s="13">
        <v>4417.0</v>
      </c>
      <c r="H525" s="13">
        <v>551.0</v>
      </c>
      <c r="I525" s="14">
        <v>28188.93</v>
      </c>
      <c r="J525" s="13">
        <v>49092.0</v>
      </c>
      <c r="K525" s="13">
        <v>736380.0</v>
      </c>
      <c r="L525" s="10" t="s">
        <v>17</v>
      </c>
      <c r="M525" s="15">
        <f t="shared" si="1"/>
        <v>-0.3858620915</v>
      </c>
      <c r="N525" s="16">
        <v>83.3</v>
      </c>
    </row>
    <row r="526" ht="15.75" customHeight="1">
      <c r="A526" s="9" t="s">
        <v>573</v>
      </c>
      <c r="B526" s="10" t="s">
        <v>52</v>
      </c>
      <c r="C526" s="11">
        <v>45976.0</v>
      </c>
      <c r="D526" s="11">
        <v>46015.0</v>
      </c>
      <c r="E526" s="10" t="s">
        <v>16</v>
      </c>
      <c r="F526" s="12">
        <v>33263.0</v>
      </c>
      <c r="G526" s="13">
        <v>4992.0</v>
      </c>
      <c r="H526" s="13">
        <v>634.0</v>
      </c>
      <c r="I526" s="14">
        <v>64715.23</v>
      </c>
      <c r="J526" s="13">
        <v>50092.0</v>
      </c>
      <c r="K526" s="13">
        <v>601104.0</v>
      </c>
      <c r="L526" s="10" t="s">
        <v>17</v>
      </c>
      <c r="M526" s="15">
        <f t="shared" si="1"/>
        <v>0.9455620359</v>
      </c>
      <c r="N526" s="16">
        <v>52.47</v>
      </c>
    </row>
    <row r="527" ht="15.75" customHeight="1">
      <c r="A527" s="9" t="s">
        <v>574</v>
      </c>
      <c r="B527" s="10" t="s">
        <v>75</v>
      </c>
      <c r="C527" s="11">
        <v>45911.0</v>
      </c>
      <c r="D527" s="11">
        <v>45965.0</v>
      </c>
      <c r="E527" s="10" t="s">
        <v>26</v>
      </c>
      <c r="F527" s="12">
        <v>13841.0</v>
      </c>
      <c r="G527" s="13">
        <v>3448.0</v>
      </c>
      <c r="H527" s="13">
        <v>163.0</v>
      </c>
      <c r="I527" s="14">
        <v>13165.28</v>
      </c>
      <c r="J527" s="13">
        <v>34671.0</v>
      </c>
      <c r="K527" s="13">
        <v>346710.0</v>
      </c>
      <c r="L527" s="10" t="s">
        <v>17</v>
      </c>
      <c r="M527" s="15">
        <f t="shared" si="1"/>
        <v>-0.04882017195</v>
      </c>
      <c r="N527" s="16">
        <v>84.91</v>
      </c>
    </row>
    <row r="528" ht="15.75" customHeight="1">
      <c r="A528" s="9" t="s">
        <v>575</v>
      </c>
      <c r="B528" s="10" t="s">
        <v>75</v>
      </c>
      <c r="C528" s="11">
        <v>45920.0</v>
      </c>
      <c r="D528" s="11">
        <v>45945.0</v>
      </c>
      <c r="E528" s="10" t="s">
        <v>26</v>
      </c>
      <c r="F528" s="12">
        <v>5773.0</v>
      </c>
      <c r="G528" s="13">
        <v>380.0</v>
      </c>
      <c r="H528" s="13">
        <v>18.0</v>
      </c>
      <c r="I528" s="14">
        <v>3875.1</v>
      </c>
      <c r="J528" s="13">
        <v>8107.0</v>
      </c>
      <c r="K528" s="13">
        <v>97284.0</v>
      </c>
      <c r="L528" s="10" t="s">
        <v>17</v>
      </c>
      <c r="M528" s="15">
        <f t="shared" si="1"/>
        <v>-0.328754547</v>
      </c>
      <c r="N528" s="16">
        <v>320.72</v>
      </c>
    </row>
    <row r="529" ht="15.75" customHeight="1">
      <c r="A529" s="9" t="s">
        <v>576</v>
      </c>
      <c r="B529" s="10" t="s">
        <v>30</v>
      </c>
      <c r="C529" s="11">
        <v>46151.0</v>
      </c>
      <c r="D529" s="11">
        <v>46192.0</v>
      </c>
      <c r="E529" s="10" t="s">
        <v>35</v>
      </c>
      <c r="F529" s="12">
        <v>4061.0</v>
      </c>
      <c r="G529" s="13">
        <v>654.0</v>
      </c>
      <c r="H529" s="13">
        <v>185.0</v>
      </c>
      <c r="I529" s="14">
        <v>13547.68</v>
      </c>
      <c r="J529" s="13">
        <v>10801.0</v>
      </c>
      <c r="K529" s="13">
        <v>183617.0</v>
      </c>
      <c r="L529" s="10" t="s">
        <v>17</v>
      </c>
      <c r="M529" s="15">
        <f t="shared" si="1"/>
        <v>2.336045309</v>
      </c>
      <c r="N529" s="16">
        <v>21.95</v>
      </c>
    </row>
    <row r="530" ht="15.75" customHeight="1">
      <c r="A530" s="9" t="s">
        <v>577</v>
      </c>
      <c r="B530" s="10" t="s">
        <v>19</v>
      </c>
      <c r="C530" s="11">
        <v>46133.0</v>
      </c>
      <c r="D530" s="11">
        <v>46168.0</v>
      </c>
      <c r="E530" s="10" t="s">
        <v>26</v>
      </c>
      <c r="F530" s="12">
        <v>15082.0</v>
      </c>
      <c r="G530" s="13">
        <v>1042.0</v>
      </c>
      <c r="H530" s="13">
        <v>63.0</v>
      </c>
      <c r="I530" s="14">
        <v>4729.88</v>
      </c>
      <c r="J530" s="13">
        <v>49134.0</v>
      </c>
      <c r="K530" s="13">
        <v>1080948.0</v>
      </c>
      <c r="L530" s="10" t="s">
        <v>17</v>
      </c>
      <c r="M530" s="15">
        <f t="shared" si="1"/>
        <v>-0.6863890731</v>
      </c>
      <c r="N530" s="16">
        <v>239.4</v>
      </c>
    </row>
    <row r="531" ht="15.75" customHeight="1">
      <c r="A531" s="9" t="s">
        <v>578</v>
      </c>
      <c r="B531" s="10" t="s">
        <v>28</v>
      </c>
      <c r="C531" s="11">
        <v>46071.0</v>
      </c>
      <c r="D531" s="11">
        <v>46101.0</v>
      </c>
      <c r="E531" s="10" t="s">
        <v>35</v>
      </c>
      <c r="F531" s="12">
        <v>1197.0</v>
      </c>
      <c r="G531" s="13">
        <v>66.0</v>
      </c>
      <c r="H531" s="13">
        <v>12.0</v>
      </c>
      <c r="I531" s="14">
        <v>1327.97</v>
      </c>
      <c r="J531" s="13">
        <v>7301.0</v>
      </c>
      <c r="K531" s="13">
        <v>58408.0</v>
      </c>
      <c r="L531" s="10" t="s">
        <v>17</v>
      </c>
      <c r="M531" s="15">
        <f t="shared" si="1"/>
        <v>0.1094152047</v>
      </c>
      <c r="N531" s="16">
        <v>99.75</v>
      </c>
    </row>
    <row r="532" ht="15.75" customHeight="1">
      <c r="A532" s="9" t="s">
        <v>579</v>
      </c>
      <c r="B532" s="10" t="s">
        <v>47</v>
      </c>
      <c r="C532" s="11">
        <v>45991.0</v>
      </c>
      <c r="D532" s="11">
        <v>46034.0</v>
      </c>
      <c r="E532" s="10" t="s">
        <v>16</v>
      </c>
      <c r="F532" s="12">
        <v>9334.0</v>
      </c>
      <c r="G532" s="13">
        <v>2035.0</v>
      </c>
      <c r="H532" s="13">
        <v>259.0</v>
      </c>
      <c r="I532" s="14">
        <v>42124.13</v>
      </c>
      <c r="J532" s="13">
        <v>10888.0</v>
      </c>
      <c r="K532" s="13">
        <v>228648.0</v>
      </c>
      <c r="L532" s="10" t="s">
        <v>17</v>
      </c>
      <c r="M532" s="15">
        <f t="shared" si="1"/>
        <v>3.512977287</v>
      </c>
      <c r="N532" s="16">
        <v>36.04</v>
      </c>
    </row>
    <row r="533" ht="15.75" customHeight="1">
      <c r="A533" s="9" t="s">
        <v>580</v>
      </c>
      <c r="B533" s="10" t="s">
        <v>28</v>
      </c>
      <c r="C533" s="11">
        <v>46107.0</v>
      </c>
      <c r="D533" s="11">
        <v>46146.0</v>
      </c>
      <c r="E533" s="10" t="s">
        <v>26</v>
      </c>
      <c r="F533" s="12">
        <v>17521.0</v>
      </c>
      <c r="G533" s="13">
        <v>3798.0</v>
      </c>
      <c r="H533" s="13">
        <v>85.0</v>
      </c>
      <c r="I533" s="14">
        <v>13820.38</v>
      </c>
      <c r="J533" s="13">
        <v>35327.0</v>
      </c>
      <c r="K533" s="13">
        <v>635886.0</v>
      </c>
      <c r="L533" s="10" t="s">
        <v>17</v>
      </c>
      <c r="M533" s="15">
        <f t="shared" si="1"/>
        <v>-0.2112105473</v>
      </c>
      <c r="N533" s="16">
        <v>206.13</v>
      </c>
    </row>
    <row r="534" ht="15.75" customHeight="1">
      <c r="A534" s="9" t="s">
        <v>581</v>
      </c>
      <c r="B534" s="10" t="s">
        <v>15</v>
      </c>
      <c r="C534" s="11">
        <v>45970.0</v>
      </c>
      <c r="D534" s="11">
        <v>46019.0</v>
      </c>
      <c r="E534" s="10" t="s">
        <v>26</v>
      </c>
      <c r="F534" s="12">
        <v>23894.0</v>
      </c>
      <c r="G534" s="13">
        <v>1284.0</v>
      </c>
      <c r="H534" s="13">
        <v>82.0</v>
      </c>
      <c r="I534" s="14">
        <v>19061.49</v>
      </c>
      <c r="J534" s="13">
        <v>68745.0</v>
      </c>
      <c r="K534" s="13">
        <v>1031175.0</v>
      </c>
      <c r="L534" s="10" t="s">
        <v>17</v>
      </c>
      <c r="M534" s="15">
        <f t="shared" si="1"/>
        <v>-0.2022478446</v>
      </c>
      <c r="N534" s="16">
        <v>291.39</v>
      </c>
    </row>
    <row r="535" ht="15.75" customHeight="1">
      <c r="A535" s="9" t="s">
        <v>582</v>
      </c>
      <c r="B535" s="10" t="s">
        <v>75</v>
      </c>
      <c r="C535" s="11">
        <v>45952.0</v>
      </c>
      <c r="D535" s="11">
        <v>45969.0</v>
      </c>
      <c r="E535" s="10" t="s">
        <v>26</v>
      </c>
      <c r="F535" s="12">
        <v>3092.0</v>
      </c>
      <c r="G535" s="13">
        <v>224.0</v>
      </c>
      <c r="H535" s="13">
        <v>14.0</v>
      </c>
      <c r="I535" s="14">
        <v>2503.49</v>
      </c>
      <c r="J535" s="13">
        <v>7146.0</v>
      </c>
      <c r="K535" s="13">
        <v>164358.0</v>
      </c>
      <c r="L535" s="10" t="s">
        <v>17</v>
      </c>
      <c r="M535" s="15">
        <f t="shared" si="1"/>
        <v>-0.1903331177</v>
      </c>
      <c r="N535" s="16">
        <v>220.86</v>
      </c>
    </row>
    <row r="536" ht="15.75" customHeight="1">
      <c r="A536" s="9" t="s">
        <v>583</v>
      </c>
      <c r="B536" s="10" t="s">
        <v>30</v>
      </c>
      <c r="C536" s="11">
        <v>45916.0</v>
      </c>
      <c r="D536" s="11">
        <v>45948.0</v>
      </c>
      <c r="E536" s="10" t="s">
        <v>35</v>
      </c>
      <c r="F536" s="12">
        <v>4887.0</v>
      </c>
      <c r="G536" s="13">
        <v>330.0</v>
      </c>
      <c r="H536" s="13">
        <v>46.0</v>
      </c>
      <c r="I536" s="14">
        <v>13648.46</v>
      </c>
      <c r="J536" s="13">
        <v>12397.0</v>
      </c>
      <c r="K536" s="13">
        <v>235543.0</v>
      </c>
      <c r="L536" s="10" t="s">
        <v>17</v>
      </c>
      <c r="M536" s="15">
        <f t="shared" si="1"/>
        <v>1.792809495</v>
      </c>
      <c r="N536" s="16">
        <v>106.24</v>
      </c>
    </row>
    <row r="537" ht="15.75" customHeight="1">
      <c r="A537" s="9" t="s">
        <v>584</v>
      </c>
      <c r="B537" s="10" t="s">
        <v>38</v>
      </c>
      <c r="C537" s="11">
        <v>46000.0</v>
      </c>
      <c r="D537" s="11">
        <v>46031.0</v>
      </c>
      <c r="E537" s="10" t="s">
        <v>26</v>
      </c>
      <c r="F537" s="12">
        <v>24602.0</v>
      </c>
      <c r="G537" s="13">
        <v>1841.0</v>
      </c>
      <c r="H537" s="13">
        <v>88.0</v>
      </c>
      <c r="I537" s="14">
        <v>13929.1</v>
      </c>
      <c r="J537" s="13">
        <v>62514.0</v>
      </c>
      <c r="K537" s="13">
        <v>1437822.0</v>
      </c>
      <c r="L537" s="10" t="s">
        <v>17</v>
      </c>
      <c r="M537" s="15">
        <f t="shared" si="1"/>
        <v>-0.4338224535</v>
      </c>
      <c r="N537" s="16">
        <v>279.57</v>
      </c>
    </row>
    <row r="538" ht="15.75" customHeight="1">
      <c r="A538" s="9" t="s">
        <v>585</v>
      </c>
      <c r="B538" s="10" t="s">
        <v>75</v>
      </c>
      <c r="C538" s="11">
        <v>45902.0</v>
      </c>
      <c r="D538" s="11">
        <v>45911.0</v>
      </c>
      <c r="E538" s="10" t="s">
        <v>16</v>
      </c>
      <c r="F538" s="12">
        <v>32935.0</v>
      </c>
      <c r="G538" s="13">
        <v>2508.0</v>
      </c>
      <c r="H538" s="13">
        <v>196.0</v>
      </c>
      <c r="I538" s="14">
        <v>13833.76</v>
      </c>
      <c r="J538" s="13">
        <v>22072.0</v>
      </c>
      <c r="K538" s="13">
        <v>309008.0</v>
      </c>
      <c r="L538" s="10" t="s">
        <v>17</v>
      </c>
      <c r="M538" s="15">
        <f t="shared" si="1"/>
        <v>-0.5799678154</v>
      </c>
      <c r="N538" s="16">
        <v>168.04</v>
      </c>
    </row>
    <row r="539" ht="15.75" customHeight="1">
      <c r="A539" s="9" t="s">
        <v>586</v>
      </c>
      <c r="B539" s="10" t="s">
        <v>28</v>
      </c>
      <c r="C539" s="11">
        <v>46179.0</v>
      </c>
      <c r="D539" s="11">
        <v>46238.0</v>
      </c>
      <c r="E539" s="10" t="s">
        <v>16</v>
      </c>
      <c r="F539" s="12">
        <v>52013.0</v>
      </c>
      <c r="G539" s="13">
        <v>5725.0</v>
      </c>
      <c r="H539" s="13">
        <v>1000.0</v>
      </c>
      <c r="I539" s="14">
        <v>135732.86</v>
      </c>
      <c r="J539" s="13">
        <v>41222.0</v>
      </c>
      <c r="K539" s="13">
        <v>906884.0</v>
      </c>
      <c r="L539" s="10" t="s">
        <v>17</v>
      </c>
      <c r="M539" s="15">
        <f t="shared" si="1"/>
        <v>1.609594909</v>
      </c>
      <c r="N539" s="16">
        <v>52.01</v>
      </c>
    </row>
    <row r="540" ht="15.75" customHeight="1">
      <c r="A540" s="9" t="s">
        <v>587</v>
      </c>
      <c r="B540" s="10" t="s">
        <v>15</v>
      </c>
      <c r="C540" s="11">
        <v>45850.0</v>
      </c>
      <c r="D540" s="11">
        <v>45873.0</v>
      </c>
      <c r="E540" s="10" t="s">
        <v>35</v>
      </c>
      <c r="F540" s="12">
        <v>2847.0</v>
      </c>
      <c r="G540" s="13">
        <v>190.0</v>
      </c>
      <c r="H540" s="13">
        <v>25.0</v>
      </c>
      <c r="I540" s="14">
        <v>4580.66</v>
      </c>
      <c r="J540" s="13">
        <v>7717.0</v>
      </c>
      <c r="K540" s="13">
        <v>108038.0</v>
      </c>
      <c r="L540" s="10" t="s">
        <v>17</v>
      </c>
      <c r="M540" s="15">
        <f t="shared" si="1"/>
        <v>0.6089427468</v>
      </c>
      <c r="N540" s="16">
        <v>113.88</v>
      </c>
    </row>
    <row r="541" ht="15.75" customHeight="1">
      <c r="A541" s="9" t="s">
        <v>588</v>
      </c>
      <c r="B541" s="10" t="s">
        <v>75</v>
      </c>
      <c r="C541" s="11">
        <v>46203.0</v>
      </c>
      <c r="D541" s="11">
        <v>46218.0</v>
      </c>
      <c r="E541" s="10" t="s">
        <v>26</v>
      </c>
      <c r="F541" s="12">
        <v>13075.0</v>
      </c>
      <c r="G541" s="13">
        <v>2909.0</v>
      </c>
      <c r="H541" s="13">
        <v>81.0</v>
      </c>
      <c r="I541" s="14">
        <v>11793.76</v>
      </c>
      <c r="J541" s="13">
        <v>38582.0</v>
      </c>
      <c r="K541" s="13">
        <v>848804.0</v>
      </c>
      <c r="L541" s="10" t="s">
        <v>17</v>
      </c>
      <c r="M541" s="15">
        <f t="shared" si="1"/>
        <v>-0.097991587</v>
      </c>
      <c r="N541" s="16">
        <v>161.42</v>
      </c>
    </row>
    <row r="542" ht="15.75" customHeight="1">
      <c r="A542" s="9" t="s">
        <v>589</v>
      </c>
      <c r="B542" s="10" t="s">
        <v>15</v>
      </c>
      <c r="C542" s="11">
        <v>46100.0</v>
      </c>
      <c r="D542" s="11">
        <v>46143.0</v>
      </c>
      <c r="E542" s="10" t="s">
        <v>26</v>
      </c>
      <c r="F542" s="12">
        <v>23787.0</v>
      </c>
      <c r="G542" s="13">
        <v>4204.0</v>
      </c>
      <c r="H542" s="13">
        <v>195.0</v>
      </c>
      <c r="I542" s="14">
        <v>40619.0</v>
      </c>
      <c r="J542" s="13">
        <v>30794.0</v>
      </c>
      <c r="K542" s="13">
        <v>893026.0</v>
      </c>
      <c r="L542" s="10" t="s">
        <v>17</v>
      </c>
      <c r="M542" s="15">
        <f t="shared" si="1"/>
        <v>0.7076134023</v>
      </c>
      <c r="N542" s="16">
        <v>121.98</v>
      </c>
    </row>
    <row r="543" ht="15.75" customHeight="1">
      <c r="A543" s="9" t="s">
        <v>590</v>
      </c>
      <c r="B543" s="10" t="s">
        <v>30</v>
      </c>
      <c r="C543" s="11">
        <v>46007.0</v>
      </c>
      <c r="D543" s="11">
        <v>46051.0</v>
      </c>
      <c r="E543" s="10" t="s">
        <v>26</v>
      </c>
      <c r="F543" s="12">
        <v>4927.0</v>
      </c>
      <c r="G543" s="13">
        <v>307.0</v>
      </c>
      <c r="H543" s="13">
        <v>14.0</v>
      </c>
      <c r="I543" s="14">
        <v>22385.13</v>
      </c>
      <c r="J543" s="13">
        <v>6791.0</v>
      </c>
      <c r="K543" s="13">
        <v>108656.0</v>
      </c>
      <c r="L543" s="10" t="s">
        <v>17</v>
      </c>
      <c r="M543" s="15">
        <f t="shared" si="1"/>
        <v>3.543359042</v>
      </c>
      <c r="N543" s="16">
        <v>351.93</v>
      </c>
    </row>
    <row r="544" ht="15.75" customHeight="1">
      <c r="A544" s="9" t="s">
        <v>591</v>
      </c>
      <c r="B544" s="10" t="s">
        <v>62</v>
      </c>
      <c r="C544" s="11">
        <v>46028.0</v>
      </c>
      <c r="D544" s="11">
        <v>46067.0</v>
      </c>
      <c r="E544" s="10" t="s">
        <v>26</v>
      </c>
      <c r="F544" s="12">
        <v>14385.0</v>
      </c>
      <c r="G544" s="13">
        <v>930.0</v>
      </c>
      <c r="H544" s="13">
        <v>58.0</v>
      </c>
      <c r="I544" s="14">
        <v>37973.33</v>
      </c>
      <c r="J544" s="13">
        <v>29721.0</v>
      </c>
      <c r="K544" s="13">
        <v>356652.0</v>
      </c>
      <c r="L544" s="10" t="s">
        <v>17</v>
      </c>
      <c r="M544" s="15">
        <f t="shared" si="1"/>
        <v>1.639786583</v>
      </c>
      <c r="N544" s="16">
        <v>248.02</v>
      </c>
    </row>
    <row r="545" ht="15.75" customHeight="1">
      <c r="A545" s="9" t="s">
        <v>592</v>
      </c>
      <c r="B545" s="10" t="s">
        <v>75</v>
      </c>
      <c r="C545" s="11">
        <v>45947.0</v>
      </c>
      <c r="D545" s="11">
        <v>45987.0</v>
      </c>
      <c r="E545" s="10" t="s">
        <v>26</v>
      </c>
      <c r="F545" s="12">
        <v>12427.0</v>
      </c>
      <c r="G545" s="13">
        <v>1264.0</v>
      </c>
      <c r="H545" s="13">
        <v>36.0</v>
      </c>
      <c r="I545" s="14">
        <v>5388.56</v>
      </c>
      <c r="J545" s="13">
        <v>40447.0</v>
      </c>
      <c r="K545" s="13">
        <v>1132516.0</v>
      </c>
      <c r="L545" s="10" t="s">
        <v>17</v>
      </c>
      <c r="M545" s="15">
        <f t="shared" si="1"/>
        <v>-0.566382876</v>
      </c>
      <c r="N545" s="16">
        <v>345.19</v>
      </c>
    </row>
    <row r="546" ht="15.75" customHeight="1">
      <c r="A546" s="9" t="s">
        <v>593</v>
      </c>
      <c r="B546" s="10" t="s">
        <v>62</v>
      </c>
      <c r="C546" s="11">
        <v>46087.0</v>
      </c>
      <c r="D546" s="11">
        <v>46131.0</v>
      </c>
      <c r="E546" s="10" t="s">
        <v>26</v>
      </c>
      <c r="F546" s="12">
        <v>8041.0</v>
      </c>
      <c r="G546" s="13">
        <v>684.0</v>
      </c>
      <c r="H546" s="13">
        <v>49.0</v>
      </c>
      <c r="I546" s="14">
        <v>2264.39</v>
      </c>
      <c r="J546" s="13">
        <v>13646.0</v>
      </c>
      <c r="K546" s="13">
        <v>150106.0</v>
      </c>
      <c r="L546" s="10" t="s">
        <v>17</v>
      </c>
      <c r="M546" s="15">
        <f t="shared" si="1"/>
        <v>-0.7183944783</v>
      </c>
      <c r="N546" s="16">
        <v>164.1</v>
      </c>
    </row>
    <row r="547" ht="15.75" customHeight="1">
      <c r="A547" s="9" t="s">
        <v>594</v>
      </c>
      <c r="B547" s="10" t="s">
        <v>62</v>
      </c>
      <c r="C547" s="11">
        <v>45981.0</v>
      </c>
      <c r="D547" s="11">
        <v>45989.0</v>
      </c>
      <c r="E547" s="10" t="s">
        <v>26</v>
      </c>
      <c r="F547" s="12">
        <v>8726.0</v>
      </c>
      <c r="G547" s="13">
        <v>471.0</v>
      </c>
      <c r="H547" s="13">
        <v>30.0</v>
      </c>
      <c r="I547" s="14">
        <v>11987.72</v>
      </c>
      <c r="J547" s="13">
        <v>10260.0</v>
      </c>
      <c r="K547" s="13">
        <v>112860.0</v>
      </c>
      <c r="L547" s="10" t="s">
        <v>17</v>
      </c>
      <c r="M547" s="15">
        <f t="shared" si="1"/>
        <v>0.3737932615</v>
      </c>
      <c r="N547" s="16">
        <v>290.87</v>
      </c>
    </row>
    <row r="548" ht="15.75" customHeight="1">
      <c r="A548" s="9" t="s">
        <v>595</v>
      </c>
      <c r="B548" s="10" t="s">
        <v>47</v>
      </c>
      <c r="C548" s="11">
        <v>46083.0</v>
      </c>
      <c r="D548" s="11">
        <v>46093.0</v>
      </c>
      <c r="E548" s="10" t="s">
        <v>26</v>
      </c>
      <c r="F548" s="12">
        <v>16980.0</v>
      </c>
      <c r="G548" s="13">
        <v>1339.0</v>
      </c>
      <c r="H548" s="13">
        <v>33.0</v>
      </c>
      <c r="I548" s="14">
        <v>42778.25</v>
      </c>
      <c r="J548" s="13">
        <v>40579.0</v>
      </c>
      <c r="K548" s="13">
        <v>892738.0</v>
      </c>
      <c r="L548" s="10" t="s">
        <v>17</v>
      </c>
      <c r="M548" s="15">
        <f t="shared" si="1"/>
        <v>1.519331567</v>
      </c>
      <c r="N548" s="16">
        <v>514.55</v>
      </c>
    </row>
    <row r="549" ht="15.75" customHeight="1">
      <c r="A549" s="9" t="s">
        <v>596</v>
      </c>
      <c r="B549" s="10" t="s">
        <v>52</v>
      </c>
      <c r="C549" s="11">
        <v>45839.0</v>
      </c>
      <c r="D549" s="11">
        <v>45858.0</v>
      </c>
      <c r="E549" s="10" t="s">
        <v>35</v>
      </c>
      <c r="F549" s="12">
        <v>4135.0</v>
      </c>
      <c r="G549" s="13">
        <v>605.0</v>
      </c>
      <c r="H549" s="13">
        <v>133.0</v>
      </c>
      <c r="I549" s="14">
        <v>18046.34</v>
      </c>
      <c r="J549" s="13">
        <v>12825.0</v>
      </c>
      <c r="K549" s="13">
        <v>205200.0</v>
      </c>
      <c r="L549" s="10" t="s">
        <v>17</v>
      </c>
      <c r="M549" s="15">
        <f t="shared" si="1"/>
        <v>3.364290206</v>
      </c>
      <c r="N549" s="16">
        <v>31.09</v>
      </c>
    </row>
    <row r="550" ht="15.75" customHeight="1">
      <c r="A550" s="9" t="s">
        <v>597</v>
      </c>
      <c r="B550" s="10" t="s">
        <v>25</v>
      </c>
      <c r="C550" s="11">
        <v>45938.0</v>
      </c>
      <c r="D550" s="11">
        <v>45990.0</v>
      </c>
      <c r="E550" s="10" t="s">
        <v>35</v>
      </c>
      <c r="F550" s="12">
        <v>1690.0</v>
      </c>
      <c r="G550" s="13">
        <v>140.0</v>
      </c>
      <c r="H550" s="13">
        <v>35.0</v>
      </c>
      <c r="I550" s="14">
        <v>3625.46</v>
      </c>
      <c r="J550" s="13">
        <v>7523.0</v>
      </c>
      <c r="K550" s="13">
        <v>90276.0</v>
      </c>
      <c r="L550" s="10" t="s">
        <v>17</v>
      </c>
      <c r="M550" s="15">
        <f t="shared" si="1"/>
        <v>1.145242604</v>
      </c>
      <c r="N550" s="16">
        <v>48.29</v>
      </c>
    </row>
    <row r="551" ht="15.75" customHeight="1">
      <c r="A551" s="9" t="s">
        <v>598</v>
      </c>
      <c r="B551" s="10" t="s">
        <v>58</v>
      </c>
      <c r="C551" s="11">
        <v>45995.0</v>
      </c>
      <c r="D551" s="11">
        <v>46019.0</v>
      </c>
      <c r="E551" s="10" t="s">
        <v>26</v>
      </c>
      <c r="F551" s="12">
        <v>14097.0</v>
      </c>
      <c r="G551" s="13">
        <v>1578.0</v>
      </c>
      <c r="H551" s="13">
        <v>110.0</v>
      </c>
      <c r="I551" s="14">
        <v>11578.54</v>
      </c>
      <c r="J551" s="13">
        <v>28815.0</v>
      </c>
      <c r="K551" s="13">
        <v>345780.0</v>
      </c>
      <c r="L551" s="10" t="s">
        <v>17</v>
      </c>
      <c r="M551" s="15">
        <f t="shared" si="1"/>
        <v>-0.1786521955</v>
      </c>
      <c r="N551" s="16">
        <v>128.15</v>
      </c>
    </row>
    <row r="552" ht="15.75" customHeight="1">
      <c r="A552" s="9" t="s">
        <v>599</v>
      </c>
      <c r="B552" s="10" t="s">
        <v>56</v>
      </c>
      <c r="C552" s="11">
        <v>46177.0</v>
      </c>
      <c r="D552" s="11">
        <v>46225.0</v>
      </c>
      <c r="E552" s="10" t="s">
        <v>26</v>
      </c>
      <c r="F552" s="12">
        <v>10886.0</v>
      </c>
      <c r="G552" s="13">
        <v>1189.0</v>
      </c>
      <c r="H552" s="13">
        <v>44.0</v>
      </c>
      <c r="I552" s="14">
        <v>7704.36</v>
      </c>
      <c r="J552" s="13">
        <v>20771.0</v>
      </c>
      <c r="K552" s="13">
        <v>332336.0</v>
      </c>
      <c r="L552" s="10" t="s">
        <v>17</v>
      </c>
      <c r="M552" s="15">
        <f t="shared" si="1"/>
        <v>-0.2922689693</v>
      </c>
      <c r="N552" s="16">
        <v>247.41</v>
      </c>
    </row>
    <row r="553" ht="15.75" customHeight="1">
      <c r="A553" s="9" t="s">
        <v>600</v>
      </c>
      <c r="B553" s="10" t="s">
        <v>19</v>
      </c>
      <c r="C553" s="11">
        <v>46028.0</v>
      </c>
      <c r="D553" s="11">
        <v>46059.0</v>
      </c>
      <c r="E553" s="10" t="s">
        <v>26</v>
      </c>
      <c r="F553" s="12">
        <v>11813.0</v>
      </c>
      <c r="G553" s="13">
        <v>738.0</v>
      </c>
      <c r="H553" s="13">
        <v>19.0</v>
      </c>
      <c r="I553" s="14">
        <v>2120.69</v>
      </c>
      <c r="J553" s="13">
        <v>31040.0</v>
      </c>
      <c r="K553" s="13">
        <v>434560.0</v>
      </c>
      <c r="L553" s="10" t="s">
        <v>17</v>
      </c>
      <c r="M553" s="15">
        <f t="shared" si="1"/>
        <v>-0.8204782866</v>
      </c>
      <c r="N553" s="16">
        <v>621.74</v>
      </c>
    </row>
    <row r="554" ht="15.75" customHeight="1">
      <c r="A554" s="9" t="s">
        <v>601</v>
      </c>
      <c r="B554" s="10" t="s">
        <v>75</v>
      </c>
      <c r="C554" s="11">
        <v>45972.0</v>
      </c>
      <c r="D554" s="11">
        <v>46010.0</v>
      </c>
      <c r="E554" s="10" t="s">
        <v>35</v>
      </c>
      <c r="F554" s="12">
        <v>3187.0</v>
      </c>
      <c r="G554" s="13">
        <v>195.0</v>
      </c>
      <c r="H554" s="13">
        <v>46.0</v>
      </c>
      <c r="I554" s="14">
        <v>9631.52</v>
      </c>
      <c r="J554" s="13">
        <v>16001.0</v>
      </c>
      <c r="K554" s="13">
        <v>224014.0</v>
      </c>
      <c r="L554" s="10" t="s">
        <v>17</v>
      </c>
      <c r="M554" s="15">
        <f t="shared" si="1"/>
        <v>2.022127393</v>
      </c>
      <c r="N554" s="16">
        <v>69.28</v>
      </c>
    </row>
    <row r="555" ht="15.75" customHeight="1">
      <c r="A555" s="9" t="s">
        <v>602</v>
      </c>
      <c r="B555" s="10" t="s">
        <v>58</v>
      </c>
      <c r="C555" s="11">
        <v>46078.0</v>
      </c>
      <c r="D555" s="11">
        <v>46120.0</v>
      </c>
      <c r="E555" s="10" t="s">
        <v>16</v>
      </c>
      <c r="F555" s="12">
        <v>49609.0</v>
      </c>
      <c r="G555" s="13">
        <v>3048.0</v>
      </c>
      <c r="H555" s="13">
        <v>545.0</v>
      </c>
      <c r="I555" s="14">
        <v>62205.92</v>
      </c>
      <c r="J555" s="13">
        <v>39626.0</v>
      </c>
      <c r="K555" s="13">
        <v>396260.0</v>
      </c>
      <c r="L555" s="10" t="s">
        <v>17</v>
      </c>
      <c r="M555" s="15">
        <f t="shared" si="1"/>
        <v>0.2539240864</v>
      </c>
      <c r="N555" s="16">
        <v>91.03</v>
      </c>
    </row>
    <row r="556" ht="15.75" customHeight="1">
      <c r="A556" s="9" t="s">
        <v>603</v>
      </c>
      <c r="B556" s="10" t="s">
        <v>47</v>
      </c>
      <c r="C556" s="11">
        <v>46060.0</v>
      </c>
      <c r="D556" s="11">
        <v>46119.0</v>
      </c>
      <c r="E556" s="10" t="s">
        <v>35</v>
      </c>
      <c r="F556" s="12">
        <v>975.0</v>
      </c>
      <c r="G556" s="13">
        <v>69.0</v>
      </c>
      <c r="H556" s="13">
        <v>12.0</v>
      </c>
      <c r="I556" s="14">
        <v>41184.25</v>
      </c>
      <c r="J556" s="13">
        <v>3856.0</v>
      </c>
      <c r="K556" s="13">
        <v>69408.0</v>
      </c>
      <c r="L556" s="10" t="s">
        <v>17</v>
      </c>
      <c r="M556" s="15">
        <f t="shared" si="1"/>
        <v>41.24025641</v>
      </c>
      <c r="N556" s="16">
        <v>81.25</v>
      </c>
    </row>
    <row r="557" ht="15.75" customHeight="1">
      <c r="A557" s="9" t="s">
        <v>604</v>
      </c>
      <c r="B557" s="10" t="s">
        <v>25</v>
      </c>
      <c r="C557" s="11">
        <v>46031.0</v>
      </c>
      <c r="D557" s="11">
        <v>46035.0</v>
      </c>
      <c r="E557" s="10" t="s">
        <v>35</v>
      </c>
      <c r="F557" s="12">
        <v>4436.0</v>
      </c>
      <c r="G557" s="13">
        <v>604.0</v>
      </c>
      <c r="H557" s="13">
        <v>165.0</v>
      </c>
      <c r="I557" s="14">
        <v>9041.51</v>
      </c>
      <c r="J557" s="13">
        <v>9880.0</v>
      </c>
      <c r="K557" s="13">
        <v>128440.0</v>
      </c>
      <c r="L557" s="10" t="s">
        <v>17</v>
      </c>
      <c r="M557" s="15">
        <f t="shared" si="1"/>
        <v>1.038212353</v>
      </c>
      <c r="N557" s="16">
        <v>26.88</v>
      </c>
    </row>
    <row r="558" ht="15.75" customHeight="1">
      <c r="A558" s="9" t="s">
        <v>605</v>
      </c>
      <c r="B558" s="10" t="s">
        <v>52</v>
      </c>
      <c r="C558" s="11">
        <v>45900.0</v>
      </c>
      <c r="D558" s="11">
        <v>45934.0</v>
      </c>
      <c r="E558" s="10" t="s">
        <v>35</v>
      </c>
      <c r="F558" s="12">
        <v>3735.0</v>
      </c>
      <c r="G558" s="13">
        <v>529.0</v>
      </c>
      <c r="H558" s="13">
        <v>132.0</v>
      </c>
      <c r="I558" s="14">
        <v>31230.42</v>
      </c>
      <c r="J558" s="13">
        <v>14315.0</v>
      </c>
      <c r="K558" s="13">
        <v>114520.0</v>
      </c>
      <c r="L558" s="10" t="s">
        <v>17</v>
      </c>
      <c r="M558" s="15">
        <f t="shared" si="1"/>
        <v>7.361558233</v>
      </c>
      <c r="N558" s="16">
        <v>28.3</v>
      </c>
    </row>
    <row r="559" ht="15.75" customHeight="1">
      <c r="A559" s="9" t="s">
        <v>606</v>
      </c>
      <c r="B559" s="10" t="s">
        <v>15</v>
      </c>
      <c r="C559" s="11">
        <v>45997.0</v>
      </c>
      <c r="D559" s="11">
        <v>46053.0</v>
      </c>
      <c r="E559" s="10" t="s">
        <v>26</v>
      </c>
      <c r="F559" s="12">
        <v>4639.0</v>
      </c>
      <c r="G559" s="13">
        <v>526.0</v>
      </c>
      <c r="H559" s="13">
        <v>24.0</v>
      </c>
      <c r="I559" s="14">
        <v>4662.62</v>
      </c>
      <c r="J559" s="13">
        <v>5736.0</v>
      </c>
      <c r="K559" s="13">
        <v>91776.0</v>
      </c>
      <c r="L559" s="10" t="s">
        <v>17</v>
      </c>
      <c r="M559" s="15">
        <f t="shared" si="1"/>
        <v>0.005091614572</v>
      </c>
      <c r="N559" s="16">
        <v>193.29</v>
      </c>
    </row>
    <row r="560" ht="15.75" customHeight="1">
      <c r="A560" s="9" t="s">
        <v>607</v>
      </c>
      <c r="B560" s="10" t="s">
        <v>25</v>
      </c>
      <c r="C560" s="11">
        <v>45843.0</v>
      </c>
      <c r="D560" s="11">
        <v>45854.0</v>
      </c>
      <c r="E560" s="10" t="s">
        <v>26</v>
      </c>
      <c r="F560" s="12">
        <v>19494.0</v>
      </c>
      <c r="G560" s="13">
        <v>1203.0</v>
      </c>
      <c r="H560" s="13">
        <v>35.0</v>
      </c>
      <c r="I560" s="14">
        <v>2199.67</v>
      </c>
      <c r="J560" s="13">
        <v>27186.0</v>
      </c>
      <c r="K560" s="13">
        <v>353418.0</v>
      </c>
      <c r="L560" s="10" t="s">
        <v>17</v>
      </c>
      <c r="M560" s="15">
        <f t="shared" si="1"/>
        <v>-0.8871616908</v>
      </c>
      <c r="N560" s="16">
        <v>556.97</v>
      </c>
    </row>
    <row r="561" ht="15.75" customHeight="1">
      <c r="A561" s="9" t="s">
        <v>608</v>
      </c>
      <c r="B561" s="10" t="s">
        <v>25</v>
      </c>
      <c r="C561" s="11">
        <v>46181.0</v>
      </c>
      <c r="D561" s="11">
        <v>46195.0</v>
      </c>
      <c r="E561" s="10" t="s">
        <v>35</v>
      </c>
      <c r="F561" s="12">
        <v>3790.0</v>
      </c>
      <c r="G561" s="13">
        <v>574.0</v>
      </c>
      <c r="H561" s="13">
        <v>158.0</v>
      </c>
      <c r="I561" s="14">
        <v>19916.99</v>
      </c>
      <c r="J561" s="13">
        <v>20128.0</v>
      </c>
      <c r="K561" s="13">
        <v>161024.0</v>
      </c>
      <c r="L561" s="10" t="s">
        <v>17</v>
      </c>
      <c r="M561" s="15">
        <f t="shared" si="1"/>
        <v>4.25514248</v>
      </c>
      <c r="N561" s="16">
        <v>23.99</v>
      </c>
    </row>
    <row r="562" ht="15.75" customHeight="1">
      <c r="A562" s="9" t="s">
        <v>609</v>
      </c>
      <c r="B562" s="10" t="s">
        <v>75</v>
      </c>
      <c r="C562" s="11">
        <v>46083.0</v>
      </c>
      <c r="D562" s="11">
        <v>46117.0</v>
      </c>
      <c r="E562" s="10" t="s">
        <v>35</v>
      </c>
      <c r="F562" s="12">
        <v>2407.0</v>
      </c>
      <c r="G562" s="13">
        <v>142.0</v>
      </c>
      <c r="H562" s="13">
        <v>17.0</v>
      </c>
      <c r="I562" s="14">
        <v>1278.87</v>
      </c>
      <c r="J562" s="13">
        <v>7290.0</v>
      </c>
      <c r="K562" s="13">
        <v>109350.0</v>
      </c>
      <c r="L562" s="10" t="s">
        <v>17</v>
      </c>
      <c r="M562" s="15">
        <f t="shared" si="1"/>
        <v>-0.4686871624</v>
      </c>
      <c r="N562" s="16">
        <v>141.59</v>
      </c>
    </row>
    <row r="563" ht="15.75" customHeight="1">
      <c r="A563" s="9" t="s">
        <v>610</v>
      </c>
      <c r="B563" s="10" t="s">
        <v>62</v>
      </c>
      <c r="C563" s="11">
        <v>45960.0</v>
      </c>
      <c r="D563" s="11">
        <v>45973.0</v>
      </c>
      <c r="E563" s="10" t="s">
        <v>35</v>
      </c>
      <c r="F563" s="12">
        <v>4050.0</v>
      </c>
      <c r="G563" s="13">
        <v>344.0</v>
      </c>
      <c r="H563" s="13">
        <v>56.0</v>
      </c>
      <c r="I563" s="14">
        <v>6202.54</v>
      </c>
      <c r="J563" s="13">
        <v>11563.0</v>
      </c>
      <c r="K563" s="13">
        <v>312201.0</v>
      </c>
      <c r="L563" s="10" t="s">
        <v>17</v>
      </c>
      <c r="M563" s="15">
        <f t="shared" si="1"/>
        <v>0.531491358</v>
      </c>
      <c r="N563" s="16">
        <v>72.32</v>
      </c>
    </row>
    <row r="564" ht="15.75" customHeight="1">
      <c r="A564" s="9" t="s">
        <v>611</v>
      </c>
      <c r="B564" s="10" t="s">
        <v>15</v>
      </c>
      <c r="C564" s="11">
        <v>46073.0</v>
      </c>
      <c r="D564" s="11">
        <v>46129.0</v>
      </c>
      <c r="E564" s="10" t="s">
        <v>26</v>
      </c>
      <c r="F564" s="12">
        <v>26141.0</v>
      </c>
      <c r="G564" s="13">
        <v>1019.0</v>
      </c>
      <c r="H564" s="13">
        <v>27.0</v>
      </c>
      <c r="I564" s="14">
        <v>2862.52</v>
      </c>
      <c r="J564" s="13">
        <v>8439.0</v>
      </c>
      <c r="K564" s="13">
        <v>109707.0</v>
      </c>
      <c r="L564" s="10" t="s">
        <v>17</v>
      </c>
      <c r="M564" s="15">
        <f t="shared" si="1"/>
        <v>-0.8904969205</v>
      </c>
      <c r="N564" s="16">
        <v>227.44</v>
      </c>
    </row>
    <row r="565" ht="15.75" customHeight="1">
      <c r="A565" s="9" t="s">
        <v>612</v>
      </c>
      <c r="B565" s="10" t="s">
        <v>52</v>
      </c>
      <c r="C565" s="11">
        <v>46187.0</v>
      </c>
      <c r="D565" s="11">
        <v>46204.0</v>
      </c>
      <c r="E565" s="10" t="s">
        <v>26</v>
      </c>
      <c r="F565" s="12">
        <v>3047.0</v>
      </c>
      <c r="G565" s="13">
        <v>245.0</v>
      </c>
      <c r="H565" s="13">
        <v>7.0</v>
      </c>
      <c r="I565" s="14">
        <v>1299.56</v>
      </c>
      <c r="J565" s="13">
        <v>4080.0</v>
      </c>
      <c r="K565" s="13">
        <v>122400.0</v>
      </c>
      <c r="L565" s="10" t="s">
        <v>17</v>
      </c>
      <c r="M565" s="15">
        <f t="shared" si="1"/>
        <v>-0.5734952412</v>
      </c>
      <c r="N565" s="16">
        <v>435.29</v>
      </c>
    </row>
    <row r="566" ht="15.75" customHeight="1">
      <c r="A566" s="9" t="s">
        <v>613</v>
      </c>
      <c r="B566" s="10" t="s">
        <v>56</v>
      </c>
      <c r="C566" s="11">
        <v>46164.0</v>
      </c>
      <c r="D566" s="11">
        <v>46207.0</v>
      </c>
      <c r="E566" s="10" t="s">
        <v>35</v>
      </c>
      <c r="F566" s="12">
        <v>2653.0</v>
      </c>
      <c r="G566" s="13">
        <v>412.0</v>
      </c>
      <c r="H566" s="13">
        <v>110.0</v>
      </c>
      <c r="I566" s="14">
        <v>23878.79</v>
      </c>
      <c r="J566" s="13">
        <v>6425.0</v>
      </c>
      <c r="K566" s="13">
        <v>109225.0</v>
      </c>
      <c r="L566" s="10" t="s">
        <v>17</v>
      </c>
      <c r="M566" s="15">
        <f t="shared" si="1"/>
        <v>8.000674708</v>
      </c>
      <c r="N566" s="16">
        <v>24.12</v>
      </c>
    </row>
    <row r="567" ht="15.75" customHeight="1">
      <c r="A567" s="9" t="s">
        <v>614</v>
      </c>
      <c r="B567" s="10" t="s">
        <v>15</v>
      </c>
      <c r="C567" s="11">
        <v>45908.0</v>
      </c>
      <c r="D567" s="11">
        <v>45957.0</v>
      </c>
      <c r="E567" s="10" t="s">
        <v>16</v>
      </c>
      <c r="F567" s="12">
        <v>26660.0</v>
      </c>
      <c r="G567" s="13">
        <v>2067.0</v>
      </c>
      <c r="H567" s="13">
        <v>103.0</v>
      </c>
      <c r="I567" s="14">
        <v>11687.63</v>
      </c>
      <c r="J567" s="13">
        <v>35483.0</v>
      </c>
      <c r="K567" s="13">
        <v>425796.0</v>
      </c>
      <c r="L567" s="10" t="s">
        <v>17</v>
      </c>
      <c r="M567" s="15">
        <f t="shared" si="1"/>
        <v>-0.5616042761</v>
      </c>
      <c r="N567" s="16">
        <v>258.83</v>
      </c>
    </row>
    <row r="568" ht="15.75" customHeight="1">
      <c r="A568" s="9" t="s">
        <v>615</v>
      </c>
      <c r="B568" s="10" t="s">
        <v>75</v>
      </c>
      <c r="C568" s="11">
        <v>45920.0</v>
      </c>
      <c r="D568" s="11">
        <v>45964.0</v>
      </c>
      <c r="E568" s="10" t="s">
        <v>26</v>
      </c>
      <c r="F568" s="12">
        <v>16230.0</v>
      </c>
      <c r="G568" s="13">
        <v>935.0</v>
      </c>
      <c r="H568" s="13">
        <v>40.0</v>
      </c>
      <c r="I568" s="14">
        <v>2693.71</v>
      </c>
      <c r="J568" s="13">
        <v>39012.0</v>
      </c>
      <c r="K568" s="13">
        <v>1131348.0</v>
      </c>
      <c r="L568" s="10" t="s">
        <v>17</v>
      </c>
      <c r="M568" s="15">
        <f t="shared" si="1"/>
        <v>-0.8340289587</v>
      </c>
      <c r="N568" s="16">
        <v>405.75</v>
      </c>
    </row>
    <row r="569" ht="15.75" customHeight="1">
      <c r="A569" s="9" t="s">
        <v>616</v>
      </c>
      <c r="B569" s="10" t="s">
        <v>30</v>
      </c>
      <c r="C569" s="11">
        <v>45899.0</v>
      </c>
      <c r="D569" s="11">
        <v>45935.0</v>
      </c>
      <c r="E569" s="10" t="s">
        <v>26</v>
      </c>
      <c r="F569" s="12">
        <v>12696.0</v>
      </c>
      <c r="G569" s="13">
        <v>935.0</v>
      </c>
      <c r="H569" s="13">
        <v>48.0</v>
      </c>
      <c r="I569" s="14">
        <v>24124.77</v>
      </c>
      <c r="J569" s="13">
        <v>16639.0</v>
      </c>
      <c r="K569" s="13">
        <v>299502.0</v>
      </c>
      <c r="L569" s="10" t="s">
        <v>17</v>
      </c>
      <c r="M569" s="15">
        <f t="shared" si="1"/>
        <v>0.900186673</v>
      </c>
      <c r="N569" s="16">
        <v>264.5</v>
      </c>
    </row>
    <row r="570" ht="15.75" customHeight="1">
      <c r="A570" s="9" t="s">
        <v>617</v>
      </c>
      <c r="B570" s="10" t="s">
        <v>58</v>
      </c>
      <c r="C570" s="11">
        <v>46077.0</v>
      </c>
      <c r="D570" s="11">
        <v>46107.0</v>
      </c>
      <c r="E570" s="10" t="s">
        <v>26</v>
      </c>
      <c r="F570" s="12">
        <v>21668.0</v>
      </c>
      <c r="G570" s="13">
        <v>1214.0</v>
      </c>
      <c r="H570" s="13">
        <v>36.0</v>
      </c>
      <c r="I570" s="14">
        <v>4457.4</v>
      </c>
      <c r="J570" s="13">
        <v>29851.0</v>
      </c>
      <c r="K570" s="13">
        <v>567169.0</v>
      </c>
      <c r="L570" s="10" t="s">
        <v>17</v>
      </c>
      <c r="M570" s="15">
        <f t="shared" si="1"/>
        <v>-0.7942865054</v>
      </c>
      <c r="N570" s="16">
        <v>601.89</v>
      </c>
    </row>
    <row r="571" ht="15.75" customHeight="1">
      <c r="A571" s="9" t="s">
        <v>618</v>
      </c>
      <c r="B571" s="10" t="s">
        <v>28</v>
      </c>
      <c r="C571" s="11">
        <v>45890.0</v>
      </c>
      <c r="D571" s="11">
        <v>45938.0</v>
      </c>
      <c r="E571" s="10" t="s">
        <v>26</v>
      </c>
      <c r="F571" s="12">
        <v>18410.0</v>
      </c>
      <c r="G571" s="13">
        <v>1368.0</v>
      </c>
      <c r="H571" s="13">
        <v>47.0</v>
      </c>
      <c r="I571" s="14">
        <v>6776.22</v>
      </c>
      <c r="J571" s="13">
        <v>30838.0</v>
      </c>
      <c r="K571" s="13">
        <v>616760.0</v>
      </c>
      <c r="L571" s="10" t="s">
        <v>17</v>
      </c>
      <c r="M571" s="15">
        <f t="shared" si="1"/>
        <v>-0.6319272135</v>
      </c>
      <c r="N571" s="16">
        <v>391.7</v>
      </c>
    </row>
    <row r="572" ht="15.75" customHeight="1">
      <c r="A572" s="9" t="s">
        <v>619</v>
      </c>
      <c r="B572" s="10" t="s">
        <v>56</v>
      </c>
      <c r="C572" s="11">
        <v>46141.0</v>
      </c>
      <c r="D572" s="11">
        <v>46197.0</v>
      </c>
      <c r="E572" s="10" t="s">
        <v>16</v>
      </c>
      <c r="F572" s="12">
        <v>59009.0</v>
      </c>
      <c r="G572" s="13">
        <v>10692.0</v>
      </c>
      <c r="H572" s="13">
        <v>1427.0</v>
      </c>
      <c r="I572" s="14">
        <v>283543.58</v>
      </c>
      <c r="J572" s="13">
        <v>98582.0</v>
      </c>
      <c r="K572" s="13">
        <v>2957460.0</v>
      </c>
      <c r="L572" s="10" t="s">
        <v>17</v>
      </c>
      <c r="M572" s="15">
        <f t="shared" si="1"/>
        <v>3.80509041</v>
      </c>
      <c r="N572" s="16">
        <v>41.35</v>
      </c>
    </row>
    <row r="573" ht="15.75" customHeight="1">
      <c r="A573" s="9" t="s">
        <v>620</v>
      </c>
      <c r="B573" s="10" t="s">
        <v>62</v>
      </c>
      <c r="C573" s="11">
        <v>46106.0</v>
      </c>
      <c r="D573" s="11">
        <v>46111.0</v>
      </c>
      <c r="E573" s="10" t="s">
        <v>16</v>
      </c>
      <c r="F573" s="12">
        <v>33128.0</v>
      </c>
      <c r="G573" s="13">
        <v>2014.0</v>
      </c>
      <c r="H573" s="13">
        <v>313.0</v>
      </c>
      <c r="I573" s="14">
        <v>171824.52</v>
      </c>
      <c r="J573" s="13">
        <v>29365.0</v>
      </c>
      <c r="K573" s="13">
        <v>234920.0</v>
      </c>
      <c r="L573" s="10" t="s">
        <v>17</v>
      </c>
      <c r="M573" s="15">
        <f t="shared" si="1"/>
        <v>4.186685583</v>
      </c>
      <c r="N573" s="16">
        <v>105.84</v>
      </c>
    </row>
    <row r="574" ht="15.75" customHeight="1">
      <c r="A574" s="9" t="s">
        <v>621</v>
      </c>
      <c r="B574" s="10" t="s">
        <v>56</v>
      </c>
      <c r="C574" s="11">
        <v>45966.0</v>
      </c>
      <c r="D574" s="11">
        <v>45986.0</v>
      </c>
      <c r="E574" s="10" t="s">
        <v>26</v>
      </c>
      <c r="F574" s="12">
        <v>17114.0</v>
      </c>
      <c r="G574" s="13">
        <v>1126.0</v>
      </c>
      <c r="H574" s="13">
        <v>75.0</v>
      </c>
      <c r="I574" s="14">
        <v>12697.29</v>
      </c>
      <c r="J574" s="13">
        <v>34594.0</v>
      </c>
      <c r="K574" s="13">
        <v>691880.0</v>
      </c>
      <c r="L574" s="10" t="s">
        <v>17</v>
      </c>
      <c r="M574" s="15">
        <f t="shared" si="1"/>
        <v>-0.2580758443</v>
      </c>
      <c r="N574" s="16">
        <v>228.19</v>
      </c>
    </row>
    <row r="575" ht="15.75" customHeight="1">
      <c r="A575" s="9" t="s">
        <v>622</v>
      </c>
      <c r="B575" s="10" t="s">
        <v>58</v>
      </c>
      <c r="C575" s="11">
        <v>46114.0</v>
      </c>
      <c r="D575" s="11">
        <v>46128.0</v>
      </c>
      <c r="E575" s="10" t="s">
        <v>35</v>
      </c>
      <c r="F575" s="12">
        <v>4060.0</v>
      </c>
      <c r="G575" s="13">
        <v>739.0</v>
      </c>
      <c r="H575" s="13">
        <v>165.0</v>
      </c>
      <c r="I575" s="14">
        <v>31474.28</v>
      </c>
      <c r="J575" s="13">
        <v>22992.0</v>
      </c>
      <c r="K575" s="13">
        <v>436848.0</v>
      </c>
      <c r="L575" s="10" t="s">
        <v>17</v>
      </c>
      <c r="M575" s="15">
        <f t="shared" si="1"/>
        <v>6.752285714</v>
      </c>
      <c r="N575" s="16">
        <v>24.61</v>
      </c>
    </row>
    <row r="576" ht="15.75" customHeight="1">
      <c r="A576" s="9" t="s">
        <v>623</v>
      </c>
      <c r="B576" s="10" t="s">
        <v>30</v>
      </c>
      <c r="C576" s="11">
        <v>45989.0</v>
      </c>
      <c r="D576" s="11">
        <v>46031.0</v>
      </c>
      <c r="E576" s="10" t="s">
        <v>35</v>
      </c>
      <c r="F576" s="12">
        <v>1473.0</v>
      </c>
      <c r="G576" s="13">
        <v>85.0</v>
      </c>
      <c r="H576" s="13">
        <v>14.0</v>
      </c>
      <c r="I576" s="14">
        <v>12776.97</v>
      </c>
      <c r="J576" s="13">
        <v>6441.0</v>
      </c>
      <c r="K576" s="13">
        <v>96615.0</v>
      </c>
      <c r="L576" s="10" t="s">
        <v>17</v>
      </c>
      <c r="M576" s="15">
        <f t="shared" si="1"/>
        <v>7.674114053</v>
      </c>
      <c r="N576" s="16">
        <v>105.21</v>
      </c>
    </row>
    <row r="577" ht="15.75" customHeight="1">
      <c r="A577" s="9" t="s">
        <v>624</v>
      </c>
      <c r="B577" s="10" t="s">
        <v>30</v>
      </c>
      <c r="C577" s="11">
        <v>45849.0</v>
      </c>
      <c r="D577" s="11">
        <v>45906.0</v>
      </c>
      <c r="E577" s="10" t="s">
        <v>26</v>
      </c>
      <c r="F577" s="12">
        <v>22561.0</v>
      </c>
      <c r="G577" s="13">
        <v>1748.0</v>
      </c>
      <c r="H577" s="13">
        <v>85.0</v>
      </c>
      <c r="I577" s="14">
        <v>17072.58</v>
      </c>
      <c r="J577" s="13">
        <v>40046.0</v>
      </c>
      <c r="K577" s="13">
        <v>800920.0</v>
      </c>
      <c r="L577" s="10" t="s">
        <v>17</v>
      </c>
      <c r="M577" s="15">
        <f t="shared" si="1"/>
        <v>-0.2432702451</v>
      </c>
      <c r="N577" s="16">
        <v>265.42</v>
      </c>
    </row>
    <row r="578" ht="15.75" customHeight="1">
      <c r="A578" s="9" t="s">
        <v>625</v>
      </c>
      <c r="B578" s="10" t="s">
        <v>47</v>
      </c>
      <c r="C578" s="11">
        <v>46025.0</v>
      </c>
      <c r="D578" s="11">
        <v>46085.0</v>
      </c>
      <c r="E578" s="10" t="s">
        <v>16</v>
      </c>
      <c r="F578" s="12">
        <v>22381.0</v>
      </c>
      <c r="G578" s="13">
        <v>1157.0</v>
      </c>
      <c r="H578" s="13">
        <v>106.0</v>
      </c>
      <c r="I578" s="14">
        <v>8247.48</v>
      </c>
      <c r="J578" s="13">
        <v>26113.0</v>
      </c>
      <c r="K578" s="13">
        <v>626712.0</v>
      </c>
      <c r="L578" s="10" t="s">
        <v>17</v>
      </c>
      <c r="M578" s="15">
        <f t="shared" si="1"/>
        <v>-0.6314963585</v>
      </c>
      <c r="N578" s="16">
        <v>211.14</v>
      </c>
    </row>
    <row r="579" ht="15.75" customHeight="1">
      <c r="A579" s="9" t="s">
        <v>626</v>
      </c>
      <c r="B579" s="10" t="s">
        <v>19</v>
      </c>
      <c r="C579" s="11">
        <v>46016.0</v>
      </c>
      <c r="D579" s="11">
        <v>46049.0</v>
      </c>
      <c r="E579" s="10" t="s">
        <v>26</v>
      </c>
      <c r="F579" s="12">
        <v>7345.0</v>
      </c>
      <c r="G579" s="13">
        <v>381.0</v>
      </c>
      <c r="H579" s="13">
        <v>9.0</v>
      </c>
      <c r="I579" s="14">
        <v>2540.76</v>
      </c>
      <c r="J579" s="13">
        <v>14327.0</v>
      </c>
      <c r="K579" s="13">
        <v>171924.0</v>
      </c>
      <c r="L579" s="10" t="s">
        <v>17</v>
      </c>
      <c r="M579" s="15">
        <f t="shared" si="1"/>
        <v>-0.6540830497</v>
      </c>
      <c r="N579" s="16">
        <v>816.11</v>
      </c>
    </row>
    <row r="580" ht="15.75" customHeight="1">
      <c r="A580" s="9" t="s">
        <v>627</v>
      </c>
      <c r="B580" s="10" t="s">
        <v>38</v>
      </c>
      <c r="C580" s="11">
        <v>46110.0</v>
      </c>
      <c r="D580" s="11">
        <v>46139.0</v>
      </c>
      <c r="E580" s="10" t="s">
        <v>16</v>
      </c>
      <c r="F580" s="12">
        <v>54866.0</v>
      </c>
      <c r="G580" s="13">
        <v>2788.0</v>
      </c>
      <c r="H580" s="13">
        <v>197.0</v>
      </c>
      <c r="I580" s="14">
        <v>117052.94</v>
      </c>
      <c r="J580" s="13">
        <v>78987.0</v>
      </c>
      <c r="K580" s="13">
        <v>868857.0</v>
      </c>
      <c r="L580" s="10" t="s">
        <v>17</v>
      </c>
      <c r="M580" s="15">
        <f t="shared" si="1"/>
        <v>1.133433092</v>
      </c>
      <c r="N580" s="16">
        <v>278.51</v>
      </c>
    </row>
    <row r="581" ht="15.75" customHeight="1">
      <c r="A581" s="9" t="s">
        <v>628</v>
      </c>
      <c r="B581" s="10" t="s">
        <v>56</v>
      </c>
      <c r="C581" s="11">
        <v>46034.0</v>
      </c>
      <c r="D581" s="11">
        <v>46081.0</v>
      </c>
      <c r="E581" s="10" t="s">
        <v>35</v>
      </c>
      <c r="F581" s="12">
        <v>4686.0</v>
      </c>
      <c r="G581" s="13">
        <v>846.0</v>
      </c>
      <c r="H581" s="13">
        <v>108.0</v>
      </c>
      <c r="I581" s="14">
        <v>12444.05</v>
      </c>
      <c r="J581" s="13">
        <v>17345.0</v>
      </c>
      <c r="K581" s="13">
        <v>260175.0</v>
      </c>
      <c r="L581" s="10" t="s">
        <v>17</v>
      </c>
      <c r="M581" s="15">
        <f t="shared" si="1"/>
        <v>1.655580452</v>
      </c>
      <c r="N581" s="16">
        <v>43.39</v>
      </c>
    </row>
    <row r="582" ht="15.75" customHeight="1">
      <c r="A582" s="9" t="s">
        <v>629</v>
      </c>
      <c r="B582" s="10" t="s">
        <v>15</v>
      </c>
      <c r="C582" s="11">
        <v>46107.0</v>
      </c>
      <c r="D582" s="11">
        <v>46126.0</v>
      </c>
      <c r="E582" s="10" t="s">
        <v>35</v>
      </c>
      <c r="F582" s="12">
        <v>967.0</v>
      </c>
      <c r="G582" s="13">
        <v>74.0</v>
      </c>
      <c r="H582" s="13">
        <v>20.0</v>
      </c>
      <c r="I582" s="14">
        <v>5392.79</v>
      </c>
      <c r="J582" s="13">
        <v>5644.0</v>
      </c>
      <c r="K582" s="13">
        <v>146744.0</v>
      </c>
      <c r="L582" s="10" t="s">
        <v>17</v>
      </c>
      <c r="M582" s="15">
        <f t="shared" si="1"/>
        <v>4.576825233</v>
      </c>
      <c r="N582" s="16">
        <v>48.35</v>
      </c>
    </row>
    <row r="583" ht="15.75" customHeight="1">
      <c r="A583" s="9" t="s">
        <v>630</v>
      </c>
      <c r="B583" s="10" t="s">
        <v>47</v>
      </c>
      <c r="C583" s="11">
        <v>46094.0</v>
      </c>
      <c r="D583" s="11">
        <v>46108.0</v>
      </c>
      <c r="E583" s="10" t="s">
        <v>16</v>
      </c>
      <c r="F583" s="12">
        <v>42075.0</v>
      </c>
      <c r="G583" s="13">
        <v>2343.0</v>
      </c>
      <c r="H583" s="13">
        <v>183.0</v>
      </c>
      <c r="I583" s="14">
        <v>38651.69</v>
      </c>
      <c r="J583" s="13">
        <v>49778.0</v>
      </c>
      <c r="K583" s="13">
        <v>647114.0</v>
      </c>
      <c r="L583" s="10" t="s">
        <v>17</v>
      </c>
      <c r="M583" s="15">
        <f t="shared" si="1"/>
        <v>-0.0813620915</v>
      </c>
      <c r="N583" s="16">
        <v>229.92</v>
      </c>
    </row>
    <row r="584" ht="15.75" customHeight="1">
      <c r="A584" s="9" t="s">
        <v>631</v>
      </c>
      <c r="B584" s="10" t="s">
        <v>19</v>
      </c>
      <c r="C584" s="11">
        <v>46114.0</v>
      </c>
      <c r="D584" s="11">
        <v>46173.0</v>
      </c>
      <c r="E584" s="10" t="s">
        <v>26</v>
      </c>
      <c r="F584" s="12">
        <v>6441.0</v>
      </c>
      <c r="G584" s="13">
        <v>743.0</v>
      </c>
      <c r="H584" s="13">
        <v>50.0</v>
      </c>
      <c r="I584" s="14">
        <v>4894.37</v>
      </c>
      <c r="J584" s="13">
        <v>13225.0</v>
      </c>
      <c r="K584" s="13">
        <v>357075.0</v>
      </c>
      <c r="L584" s="10" t="s">
        <v>17</v>
      </c>
      <c r="M584" s="15">
        <f t="shared" si="1"/>
        <v>-0.2401226518</v>
      </c>
      <c r="N584" s="16">
        <v>128.82</v>
      </c>
    </row>
    <row r="585" ht="15.75" customHeight="1">
      <c r="A585" s="9" t="s">
        <v>632</v>
      </c>
      <c r="B585" s="10" t="s">
        <v>19</v>
      </c>
      <c r="C585" s="11">
        <v>46068.0</v>
      </c>
      <c r="D585" s="11">
        <v>46078.0</v>
      </c>
      <c r="E585" s="10" t="s">
        <v>35</v>
      </c>
      <c r="F585" s="12">
        <v>1336.0</v>
      </c>
      <c r="G585" s="13">
        <v>170.0</v>
      </c>
      <c r="H585" s="13">
        <v>28.0</v>
      </c>
      <c r="I585" s="14">
        <v>4818.14</v>
      </c>
      <c r="J585" s="13">
        <v>4805.0</v>
      </c>
      <c r="K585" s="13">
        <v>139345.0</v>
      </c>
      <c r="L585" s="10" t="s">
        <v>17</v>
      </c>
      <c r="M585" s="15">
        <f t="shared" si="1"/>
        <v>2.606392216</v>
      </c>
      <c r="N585" s="16">
        <v>47.71</v>
      </c>
    </row>
    <row r="586" ht="15.75" customHeight="1">
      <c r="A586" s="9" t="s">
        <v>633</v>
      </c>
      <c r="B586" s="10" t="s">
        <v>28</v>
      </c>
      <c r="C586" s="11">
        <v>46174.0</v>
      </c>
      <c r="D586" s="11">
        <v>46197.0</v>
      </c>
      <c r="E586" s="10" t="s">
        <v>26</v>
      </c>
      <c r="F586" s="12">
        <v>19779.0</v>
      </c>
      <c r="G586" s="13">
        <v>1601.0</v>
      </c>
      <c r="H586" s="13">
        <v>86.0</v>
      </c>
      <c r="I586" s="14">
        <v>15968.95</v>
      </c>
      <c r="J586" s="13">
        <v>27420.0</v>
      </c>
      <c r="K586" s="13">
        <v>767760.0</v>
      </c>
      <c r="L586" s="10" t="s">
        <v>17</v>
      </c>
      <c r="M586" s="15">
        <f t="shared" si="1"/>
        <v>-0.1926310734</v>
      </c>
      <c r="N586" s="16">
        <v>229.99</v>
      </c>
    </row>
    <row r="587" ht="15.75" customHeight="1">
      <c r="A587" s="9" t="s">
        <v>634</v>
      </c>
      <c r="B587" s="10" t="s">
        <v>15</v>
      </c>
      <c r="C587" s="11">
        <v>45999.0</v>
      </c>
      <c r="D587" s="11">
        <v>46049.0</v>
      </c>
      <c r="E587" s="10" t="s">
        <v>26</v>
      </c>
      <c r="F587" s="12">
        <v>4071.0</v>
      </c>
      <c r="G587" s="13">
        <v>460.0</v>
      </c>
      <c r="H587" s="13">
        <v>23.0</v>
      </c>
      <c r="I587" s="14">
        <v>1311.01</v>
      </c>
      <c r="J587" s="13">
        <v>12399.0</v>
      </c>
      <c r="K587" s="13">
        <v>161187.0</v>
      </c>
      <c r="L587" s="10" t="s">
        <v>17</v>
      </c>
      <c r="M587" s="15">
        <f t="shared" si="1"/>
        <v>-0.6779636453</v>
      </c>
      <c r="N587" s="16">
        <v>177.0</v>
      </c>
    </row>
    <row r="588" ht="15.75" customHeight="1">
      <c r="A588" s="9" t="s">
        <v>635</v>
      </c>
      <c r="B588" s="10" t="s">
        <v>75</v>
      </c>
      <c r="C588" s="11">
        <v>45934.0</v>
      </c>
      <c r="D588" s="11">
        <v>45994.0</v>
      </c>
      <c r="E588" s="10" t="s">
        <v>26</v>
      </c>
      <c r="F588" s="12">
        <v>9760.0</v>
      </c>
      <c r="G588" s="13">
        <v>1344.0</v>
      </c>
      <c r="H588" s="13">
        <v>84.0</v>
      </c>
      <c r="I588" s="14">
        <v>4854.13</v>
      </c>
      <c r="J588" s="13">
        <v>28390.0</v>
      </c>
      <c r="K588" s="13">
        <v>227120.0</v>
      </c>
      <c r="L588" s="10" t="s">
        <v>17</v>
      </c>
      <c r="M588" s="15">
        <f t="shared" si="1"/>
        <v>-0.5026506148</v>
      </c>
      <c r="N588" s="16">
        <v>116.19</v>
      </c>
    </row>
    <row r="589" ht="15.75" customHeight="1">
      <c r="A589" s="9" t="s">
        <v>636</v>
      </c>
      <c r="B589" s="10" t="s">
        <v>30</v>
      </c>
      <c r="C589" s="11">
        <v>45953.0</v>
      </c>
      <c r="D589" s="11">
        <v>45960.0</v>
      </c>
      <c r="E589" s="10" t="s">
        <v>35</v>
      </c>
      <c r="F589" s="12">
        <v>1737.0</v>
      </c>
      <c r="G589" s="13">
        <v>146.0</v>
      </c>
      <c r="H589" s="13">
        <v>17.0</v>
      </c>
      <c r="I589" s="14">
        <v>1277.04</v>
      </c>
      <c r="J589" s="13">
        <v>3729.0</v>
      </c>
      <c r="K589" s="13">
        <v>74580.0</v>
      </c>
      <c r="L589" s="10" t="s">
        <v>17</v>
      </c>
      <c r="M589" s="15">
        <f t="shared" si="1"/>
        <v>-0.2648013817</v>
      </c>
      <c r="N589" s="16">
        <v>102.18</v>
      </c>
    </row>
    <row r="590" ht="15.75" customHeight="1">
      <c r="A590" s="9" t="s">
        <v>637</v>
      </c>
      <c r="B590" s="10" t="s">
        <v>38</v>
      </c>
      <c r="C590" s="11">
        <v>45900.0</v>
      </c>
      <c r="D590" s="11">
        <v>45928.0</v>
      </c>
      <c r="E590" s="10" t="s">
        <v>26</v>
      </c>
      <c r="F590" s="12">
        <v>9123.0</v>
      </c>
      <c r="G590" s="13">
        <v>762.0</v>
      </c>
      <c r="H590" s="13">
        <v>58.0</v>
      </c>
      <c r="I590" s="14">
        <v>4586.69</v>
      </c>
      <c r="J590" s="13">
        <v>14415.0</v>
      </c>
      <c r="K590" s="13">
        <v>187395.0</v>
      </c>
      <c r="L590" s="10" t="s">
        <v>17</v>
      </c>
      <c r="M590" s="15">
        <f t="shared" si="1"/>
        <v>-0.4972388469</v>
      </c>
      <c r="N590" s="16">
        <v>157.29</v>
      </c>
    </row>
    <row r="591" ht="15.75" customHeight="1">
      <c r="A591" s="9" t="s">
        <v>638</v>
      </c>
      <c r="B591" s="10" t="s">
        <v>28</v>
      </c>
      <c r="C591" s="11">
        <v>45912.0</v>
      </c>
      <c r="D591" s="11">
        <v>45950.0</v>
      </c>
      <c r="E591" s="10" t="s">
        <v>16</v>
      </c>
      <c r="F591" s="12">
        <v>27811.0</v>
      </c>
      <c r="G591" s="13">
        <v>2633.0</v>
      </c>
      <c r="H591" s="13">
        <v>151.0</v>
      </c>
      <c r="I591" s="14">
        <v>21827.06</v>
      </c>
      <c r="J591" s="13">
        <v>23473.0</v>
      </c>
      <c r="K591" s="13">
        <v>258203.0</v>
      </c>
      <c r="L591" s="10" t="s">
        <v>17</v>
      </c>
      <c r="M591" s="15">
        <f t="shared" si="1"/>
        <v>-0.2151645033</v>
      </c>
      <c r="N591" s="16">
        <v>184.18</v>
      </c>
    </row>
    <row r="592" ht="15.75" customHeight="1">
      <c r="A592" s="9" t="s">
        <v>639</v>
      </c>
      <c r="B592" s="10" t="s">
        <v>47</v>
      </c>
      <c r="C592" s="11">
        <v>46129.0</v>
      </c>
      <c r="D592" s="11">
        <v>46139.0</v>
      </c>
      <c r="E592" s="10" t="s">
        <v>35</v>
      </c>
      <c r="F592" s="12">
        <v>2639.0</v>
      </c>
      <c r="G592" s="13">
        <v>207.0</v>
      </c>
      <c r="H592" s="13">
        <v>52.0</v>
      </c>
      <c r="I592" s="14">
        <v>12879.27</v>
      </c>
      <c r="J592" s="13">
        <v>16258.0</v>
      </c>
      <c r="K592" s="13">
        <v>325160.0</v>
      </c>
      <c r="L592" s="10" t="s">
        <v>17</v>
      </c>
      <c r="M592" s="15">
        <f t="shared" si="1"/>
        <v>3.880359985</v>
      </c>
      <c r="N592" s="16">
        <v>50.75</v>
      </c>
    </row>
    <row r="593" ht="15.75" customHeight="1">
      <c r="A593" s="9" t="s">
        <v>640</v>
      </c>
      <c r="B593" s="10" t="s">
        <v>25</v>
      </c>
      <c r="C593" s="11">
        <v>46164.0</v>
      </c>
      <c r="D593" s="11">
        <v>46196.0</v>
      </c>
      <c r="E593" s="10" t="s">
        <v>26</v>
      </c>
      <c r="F593" s="12">
        <v>18200.0</v>
      </c>
      <c r="G593" s="13">
        <v>1446.0</v>
      </c>
      <c r="H593" s="13">
        <v>108.0</v>
      </c>
      <c r="I593" s="14">
        <v>10638.42</v>
      </c>
      <c r="J593" s="13">
        <v>46442.0</v>
      </c>
      <c r="K593" s="13">
        <v>603746.0</v>
      </c>
      <c r="L593" s="10" t="s">
        <v>17</v>
      </c>
      <c r="M593" s="15">
        <f t="shared" si="1"/>
        <v>-0.4154714286</v>
      </c>
      <c r="N593" s="16">
        <v>168.52</v>
      </c>
    </row>
    <row r="594" ht="15.75" customHeight="1">
      <c r="A594" s="9" t="s">
        <v>641</v>
      </c>
      <c r="B594" s="10" t="s">
        <v>25</v>
      </c>
      <c r="C594" s="11">
        <v>46049.0</v>
      </c>
      <c r="D594" s="11">
        <v>46097.0</v>
      </c>
      <c r="E594" s="10" t="s">
        <v>26</v>
      </c>
      <c r="F594" s="12">
        <v>20243.0</v>
      </c>
      <c r="G594" s="13">
        <v>3373.0</v>
      </c>
      <c r="H594" s="13">
        <v>239.0</v>
      </c>
      <c r="I594" s="14">
        <v>34128.76</v>
      </c>
      <c r="J594" s="13">
        <v>22681.0</v>
      </c>
      <c r="K594" s="13">
        <v>453620.0</v>
      </c>
      <c r="L594" s="10" t="s">
        <v>17</v>
      </c>
      <c r="M594" s="15">
        <f t="shared" si="1"/>
        <v>0.685953663</v>
      </c>
      <c r="N594" s="16">
        <v>84.7</v>
      </c>
    </row>
    <row r="595" ht="15.75" customHeight="1">
      <c r="A595" s="9" t="s">
        <v>642</v>
      </c>
      <c r="B595" s="10" t="s">
        <v>52</v>
      </c>
      <c r="C595" s="11">
        <v>45944.0</v>
      </c>
      <c r="D595" s="11">
        <v>45962.0</v>
      </c>
      <c r="E595" s="10" t="s">
        <v>35</v>
      </c>
      <c r="F595" s="12">
        <v>2577.0</v>
      </c>
      <c r="G595" s="13">
        <v>134.0</v>
      </c>
      <c r="H595" s="13">
        <v>32.0</v>
      </c>
      <c r="I595" s="14">
        <v>6006.25</v>
      </c>
      <c r="J595" s="13">
        <v>7385.0</v>
      </c>
      <c r="K595" s="13">
        <v>140315.0</v>
      </c>
      <c r="L595" s="10" t="s">
        <v>17</v>
      </c>
      <c r="M595" s="15">
        <f t="shared" si="1"/>
        <v>1.330714009</v>
      </c>
      <c r="N595" s="16">
        <v>80.53</v>
      </c>
    </row>
    <row r="596" ht="15.75" customHeight="1">
      <c r="A596" s="9" t="s">
        <v>643</v>
      </c>
      <c r="B596" s="10" t="s">
        <v>30</v>
      </c>
      <c r="C596" s="11">
        <v>46070.0</v>
      </c>
      <c r="D596" s="11">
        <v>46092.0</v>
      </c>
      <c r="E596" s="10" t="s">
        <v>16</v>
      </c>
      <c r="F596" s="12">
        <v>57762.0</v>
      </c>
      <c r="G596" s="13">
        <v>8033.0</v>
      </c>
      <c r="H596" s="13">
        <v>1310.0</v>
      </c>
      <c r="I596" s="14">
        <v>153971.25</v>
      </c>
      <c r="J596" s="13">
        <v>63327.0</v>
      </c>
      <c r="K596" s="13">
        <v>506616.0</v>
      </c>
      <c r="L596" s="10" t="s">
        <v>17</v>
      </c>
      <c r="M596" s="15">
        <f t="shared" si="1"/>
        <v>1.665614937</v>
      </c>
      <c r="N596" s="16">
        <v>44.09</v>
      </c>
    </row>
    <row r="597" ht="15.75" customHeight="1">
      <c r="A597" s="9" t="s">
        <v>644</v>
      </c>
      <c r="B597" s="10" t="s">
        <v>52</v>
      </c>
      <c r="C597" s="11">
        <v>46152.0</v>
      </c>
      <c r="D597" s="11">
        <v>46188.0</v>
      </c>
      <c r="E597" s="10" t="s">
        <v>16</v>
      </c>
      <c r="F597" s="12">
        <v>55189.0</v>
      </c>
      <c r="G597" s="13">
        <v>9938.0</v>
      </c>
      <c r="H597" s="13">
        <v>1308.0</v>
      </c>
      <c r="I597" s="14">
        <v>66139.1</v>
      </c>
      <c r="J597" s="13">
        <v>103098.0</v>
      </c>
      <c r="K597" s="13">
        <v>1958862.0</v>
      </c>
      <c r="L597" s="10" t="s">
        <v>17</v>
      </c>
      <c r="M597" s="15">
        <f t="shared" si="1"/>
        <v>0.1984109152</v>
      </c>
      <c r="N597" s="16">
        <v>42.19</v>
      </c>
    </row>
    <row r="598" ht="15.75" customHeight="1">
      <c r="A598" s="9" t="s">
        <v>645</v>
      </c>
      <c r="B598" s="10" t="s">
        <v>58</v>
      </c>
      <c r="C598" s="11">
        <v>46000.0</v>
      </c>
      <c r="D598" s="11">
        <v>46040.0</v>
      </c>
      <c r="E598" s="10" t="s">
        <v>26</v>
      </c>
      <c r="F598" s="12">
        <v>17134.0</v>
      </c>
      <c r="G598" s="13">
        <v>1984.0</v>
      </c>
      <c r="H598" s="13">
        <v>96.0</v>
      </c>
      <c r="I598" s="14">
        <v>6334.2</v>
      </c>
      <c r="J598" s="13">
        <v>23725.0</v>
      </c>
      <c r="K598" s="13">
        <v>640575.0</v>
      </c>
      <c r="L598" s="10" t="s">
        <v>17</v>
      </c>
      <c r="M598" s="15">
        <f t="shared" si="1"/>
        <v>-0.6303139956</v>
      </c>
      <c r="N598" s="16">
        <v>178.48</v>
      </c>
    </row>
    <row r="599" ht="15.75" customHeight="1">
      <c r="A599" s="9" t="s">
        <v>646</v>
      </c>
      <c r="B599" s="10" t="s">
        <v>25</v>
      </c>
      <c r="C599" s="11">
        <v>46024.0</v>
      </c>
      <c r="D599" s="11">
        <v>46055.0</v>
      </c>
      <c r="E599" s="10" t="s">
        <v>16</v>
      </c>
      <c r="F599" s="12">
        <v>45331.0</v>
      </c>
      <c r="G599" s="13">
        <v>10498.0</v>
      </c>
      <c r="H599" s="13">
        <v>1305.0</v>
      </c>
      <c r="I599" s="14">
        <v>181327.83</v>
      </c>
      <c r="J599" s="13">
        <v>47851.0</v>
      </c>
      <c r="K599" s="13">
        <v>622063.0</v>
      </c>
      <c r="L599" s="10" t="s">
        <v>17</v>
      </c>
      <c r="M599" s="15">
        <f t="shared" si="1"/>
        <v>3.00008449</v>
      </c>
      <c r="N599" s="16">
        <v>34.74</v>
      </c>
    </row>
    <row r="600" ht="15.75" customHeight="1">
      <c r="A600" s="9" t="s">
        <v>647</v>
      </c>
      <c r="B600" s="10" t="s">
        <v>28</v>
      </c>
      <c r="C600" s="11">
        <v>46181.0</v>
      </c>
      <c r="D600" s="11">
        <v>46196.0</v>
      </c>
      <c r="E600" s="10" t="s">
        <v>26</v>
      </c>
      <c r="F600" s="12">
        <v>23282.0</v>
      </c>
      <c r="G600" s="13">
        <v>1213.0</v>
      </c>
      <c r="H600" s="13">
        <v>47.0</v>
      </c>
      <c r="I600" s="14">
        <v>11279.34</v>
      </c>
      <c r="J600" s="13">
        <v>32031.0</v>
      </c>
      <c r="K600" s="13">
        <v>512496.0</v>
      </c>
      <c r="L600" s="10" t="s">
        <v>17</v>
      </c>
      <c r="M600" s="15">
        <f t="shared" si="1"/>
        <v>-0.5155338888</v>
      </c>
      <c r="N600" s="16">
        <v>495.36</v>
      </c>
    </row>
    <row r="601" ht="15.75" customHeight="1">
      <c r="A601" s="9" t="s">
        <v>648</v>
      </c>
      <c r="B601" s="10" t="s">
        <v>28</v>
      </c>
      <c r="C601" s="11">
        <v>45924.0</v>
      </c>
      <c r="D601" s="11">
        <v>45930.0</v>
      </c>
      <c r="E601" s="10" t="s">
        <v>16</v>
      </c>
      <c r="F601" s="12">
        <v>49559.0</v>
      </c>
      <c r="G601" s="13">
        <v>4431.0</v>
      </c>
      <c r="H601" s="13">
        <v>359.0</v>
      </c>
      <c r="I601" s="14">
        <v>38128.02</v>
      </c>
      <c r="J601" s="13">
        <v>61439.0</v>
      </c>
      <c r="K601" s="13">
        <v>1535975.0</v>
      </c>
      <c r="L601" s="10" t="s">
        <v>17</v>
      </c>
      <c r="M601" s="15">
        <f t="shared" si="1"/>
        <v>-0.230653968</v>
      </c>
      <c r="N601" s="16">
        <v>138.05</v>
      </c>
    </row>
    <row r="602" ht="15.75" customHeight="1">
      <c r="A602" s="9" t="s">
        <v>649</v>
      </c>
      <c r="B602" s="10" t="s">
        <v>58</v>
      </c>
      <c r="C602" s="11">
        <v>45848.0</v>
      </c>
      <c r="D602" s="11">
        <v>45870.0</v>
      </c>
      <c r="E602" s="10" t="s">
        <v>35</v>
      </c>
      <c r="F602" s="12">
        <v>3918.0</v>
      </c>
      <c r="G602" s="13">
        <v>383.0</v>
      </c>
      <c r="H602" s="13">
        <v>53.0</v>
      </c>
      <c r="I602" s="14">
        <v>8305.18</v>
      </c>
      <c r="J602" s="13">
        <v>12456.0</v>
      </c>
      <c r="K602" s="13">
        <v>261576.0</v>
      </c>
      <c r="L602" s="10" t="s">
        <v>17</v>
      </c>
      <c r="M602" s="15">
        <f t="shared" si="1"/>
        <v>1.119749872</v>
      </c>
      <c r="N602" s="16">
        <v>73.92</v>
      </c>
    </row>
    <row r="603" ht="15.75" customHeight="1">
      <c r="A603" s="9" t="s">
        <v>650</v>
      </c>
      <c r="B603" s="10" t="s">
        <v>47</v>
      </c>
      <c r="C603" s="11">
        <v>45937.0</v>
      </c>
      <c r="D603" s="11">
        <v>45971.0</v>
      </c>
      <c r="E603" s="10" t="s">
        <v>26</v>
      </c>
      <c r="F603" s="12">
        <v>11728.0</v>
      </c>
      <c r="G603" s="13">
        <v>627.0</v>
      </c>
      <c r="H603" s="13">
        <v>22.0</v>
      </c>
      <c r="I603" s="14">
        <v>21427.41</v>
      </c>
      <c r="J603" s="13">
        <v>13829.0</v>
      </c>
      <c r="K603" s="13">
        <v>152119.0</v>
      </c>
      <c r="L603" s="10" t="s">
        <v>17</v>
      </c>
      <c r="M603" s="15">
        <f t="shared" si="1"/>
        <v>0.8270301842</v>
      </c>
      <c r="N603" s="16">
        <v>533.09</v>
      </c>
    </row>
    <row r="604" ht="15.75" customHeight="1">
      <c r="A604" s="9" t="s">
        <v>651</v>
      </c>
      <c r="B604" s="10" t="s">
        <v>58</v>
      </c>
      <c r="C604" s="11">
        <v>45883.0</v>
      </c>
      <c r="D604" s="11">
        <v>45941.0</v>
      </c>
      <c r="E604" s="10" t="s">
        <v>35</v>
      </c>
      <c r="F604" s="12">
        <v>1417.0</v>
      </c>
      <c r="G604" s="13">
        <v>83.0</v>
      </c>
      <c r="H604" s="13">
        <v>8.0</v>
      </c>
      <c r="I604" s="14">
        <v>1637.2</v>
      </c>
      <c r="J604" s="13">
        <v>9159.0</v>
      </c>
      <c r="K604" s="13">
        <v>164862.0</v>
      </c>
      <c r="L604" s="10" t="s">
        <v>17</v>
      </c>
      <c r="M604" s="15">
        <f t="shared" si="1"/>
        <v>0.1553987297</v>
      </c>
      <c r="N604" s="16">
        <v>177.13</v>
      </c>
    </row>
    <row r="605" ht="15.75" customHeight="1">
      <c r="A605" s="9" t="s">
        <v>652</v>
      </c>
      <c r="B605" s="10" t="s">
        <v>56</v>
      </c>
      <c r="C605" s="11">
        <v>45880.0</v>
      </c>
      <c r="D605" s="11">
        <v>45894.0</v>
      </c>
      <c r="E605" s="10" t="s">
        <v>26</v>
      </c>
      <c r="F605" s="12">
        <v>5504.0</v>
      </c>
      <c r="G605" s="13">
        <v>503.0</v>
      </c>
      <c r="H605" s="13">
        <v>31.0</v>
      </c>
      <c r="I605" s="14">
        <v>4720.8</v>
      </c>
      <c r="J605" s="13">
        <v>15506.0</v>
      </c>
      <c r="K605" s="13">
        <v>217084.0</v>
      </c>
      <c r="L605" s="10" t="s">
        <v>17</v>
      </c>
      <c r="M605" s="15">
        <f t="shared" si="1"/>
        <v>-0.1422965116</v>
      </c>
      <c r="N605" s="16">
        <v>177.55</v>
      </c>
    </row>
    <row r="606" ht="15.75" customHeight="1">
      <c r="A606" s="9" t="s">
        <v>653</v>
      </c>
      <c r="B606" s="10" t="s">
        <v>15</v>
      </c>
      <c r="C606" s="11">
        <v>46185.0</v>
      </c>
      <c r="D606" s="11">
        <v>46225.0</v>
      </c>
      <c r="E606" s="10" t="s">
        <v>26</v>
      </c>
      <c r="F606" s="12">
        <v>4507.0</v>
      </c>
      <c r="G606" s="13">
        <v>854.0</v>
      </c>
      <c r="H606" s="13">
        <v>39.0</v>
      </c>
      <c r="I606" s="14">
        <v>7855.24</v>
      </c>
      <c r="J606" s="13">
        <v>7455.0</v>
      </c>
      <c r="K606" s="13">
        <v>74550.0</v>
      </c>
      <c r="L606" s="10" t="s">
        <v>17</v>
      </c>
      <c r="M606" s="15">
        <f t="shared" si="1"/>
        <v>0.7428977147</v>
      </c>
      <c r="N606" s="16">
        <v>115.56</v>
      </c>
    </row>
    <row r="607" ht="15.75" customHeight="1">
      <c r="A607" s="9" t="s">
        <v>654</v>
      </c>
      <c r="B607" s="10" t="s">
        <v>47</v>
      </c>
      <c r="C607" s="11">
        <v>46015.0</v>
      </c>
      <c r="D607" s="11">
        <v>46075.0</v>
      </c>
      <c r="E607" s="10" t="s">
        <v>26</v>
      </c>
      <c r="F607" s="12">
        <v>4479.0</v>
      </c>
      <c r="G607" s="13">
        <v>848.0</v>
      </c>
      <c r="H607" s="13">
        <v>48.0</v>
      </c>
      <c r="I607" s="14">
        <v>5473.56</v>
      </c>
      <c r="J607" s="13">
        <v>5665.0</v>
      </c>
      <c r="K607" s="13">
        <v>107635.0</v>
      </c>
      <c r="L607" s="10" t="s">
        <v>17</v>
      </c>
      <c r="M607" s="15">
        <f t="shared" si="1"/>
        <v>0.2220495646</v>
      </c>
      <c r="N607" s="16">
        <v>93.31</v>
      </c>
    </row>
    <row r="608" ht="15.75" customHeight="1">
      <c r="A608" s="9" t="s">
        <v>655</v>
      </c>
      <c r="B608" s="10" t="s">
        <v>25</v>
      </c>
      <c r="C608" s="11">
        <v>46076.0</v>
      </c>
      <c r="D608" s="11">
        <v>46107.0</v>
      </c>
      <c r="E608" s="10" t="s">
        <v>16</v>
      </c>
      <c r="F608" s="12">
        <v>17006.0</v>
      </c>
      <c r="G608" s="13">
        <v>1587.0</v>
      </c>
      <c r="H608" s="13">
        <v>108.0</v>
      </c>
      <c r="I608" s="14">
        <v>4988.15</v>
      </c>
      <c r="J608" s="13">
        <v>13598.0</v>
      </c>
      <c r="K608" s="13">
        <v>108784.0</v>
      </c>
      <c r="L608" s="10" t="s">
        <v>17</v>
      </c>
      <c r="M608" s="15">
        <f t="shared" si="1"/>
        <v>-0.7066829354</v>
      </c>
      <c r="N608" s="16">
        <v>157.46</v>
      </c>
    </row>
    <row r="609" ht="15.75" customHeight="1">
      <c r="A609" s="9" t="s">
        <v>656</v>
      </c>
      <c r="B609" s="10" t="s">
        <v>25</v>
      </c>
      <c r="C609" s="11">
        <v>45933.0</v>
      </c>
      <c r="D609" s="11">
        <v>45949.0</v>
      </c>
      <c r="E609" s="10" t="s">
        <v>16</v>
      </c>
      <c r="F609" s="12">
        <v>13215.0</v>
      </c>
      <c r="G609" s="13">
        <v>1585.0</v>
      </c>
      <c r="H609" s="13">
        <v>82.0</v>
      </c>
      <c r="I609" s="14">
        <v>6678.81</v>
      </c>
      <c r="J609" s="13">
        <v>13591.0</v>
      </c>
      <c r="K609" s="13">
        <v>190274.0</v>
      </c>
      <c r="L609" s="10" t="s">
        <v>17</v>
      </c>
      <c r="M609" s="15">
        <f t="shared" si="1"/>
        <v>-0.4946038593</v>
      </c>
      <c r="N609" s="16">
        <v>161.16</v>
      </c>
    </row>
    <row r="610" ht="15.75" customHeight="1">
      <c r="A610" s="9" t="s">
        <v>657</v>
      </c>
      <c r="B610" s="10" t="s">
        <v>30</v>
      </c>
      <c r="C610" s="11">
        <v>46179.0</v>
      </c>
      <c r="D610" s="11">
        <v>46185.0</v>
      </c>
      <c r="E610" s="10" t="s">
        <v>16</v>
      </c>
      <c r="F610" s="12">
        <v>30158.0</v>
      </c>
      <c r="G610" s="13">
        <v>3287.0</v>
      </c>
      <c r="H610" s="13">
        <v>575.0</v>
      </c>
      <c r="I610" s="14">
        <v>70163.15</v>
      </c>
      <c r="J610" s="13">
        <v>53197.0</v>
      </c>
      <c r="K610" s="13">
        <v>425576.0</v>
      </c>
      <c r="L610" s="10" t="s">
        <v>17</v>
      </c>
      <c r="M610" s="15">
        <f t="shared" si="1"/>
        <v>1.326518668</v>
      </c>
      <c r="N610" s="16">
        <v>52.45</v>
      </c>
    </row>
    <row r="611" ht="15.75" customHeight="1">
      <c r="A611" s="9" t="s">
        <v>658</v>
      </c>
      <c r="B611" s="10" t="s">
        <v>15</v>
      </c>
      <c r="C611" s="11">
        <v>45999.0</v>
      </c>
      <c r="D611" s="11">
        <v>46042.0</v>
      </c>
      <c r="E611" s="10" t="s">
        <v>26</v>
      </c>
      <c r="F611" s="12">
        <v>18103.0</v>
      </c>
      <c r="G611" s="13">
        <v>1367.0</v>
      </c>
      <c r="H611" s="13">
        <v>91.0</v>
      </c>
      <c r="I611" s="14">
        <v>8687.95</v>
      </c>
      <c r="J611" s="13">
        <v>28598.0</v>
      </c>
      <c r="K611" s="13">
        <v>428970.0</v>
      </c>
      <c r="L611" s="10" t="s">
        <v>17</v>
      </c>
      <c r="M611" s="15">
        <f t="shared" si="1"/>
        <v>-0.5200823068</v>
      </c>
      <c r="N611" s="16">
        <v>198.93</v>
      </c>
    </row>
    <row r="612" ht="15.75" customHeight="1">
      <c r="A612" s="9" t="s">
        <v>659</v>
      </c>
      <c r="B612" s="10" t="s">
        <v>30</v>
      </c>
      <c r="C612" s="11">
        <v>46079.0</v>
      </c>
      <c r="D612" s="11">
        <v>46138.0</v>
      </c>
      <c r="E612" s="10" t="s">
        <v>16</v>
      </c>
      <c r="F612" s="12">
        <v>8271.0</v>
      </c>
      <c r="G612" s="13">
        <v>815.0</v>
      </c>
      <c r="H612" s="13">
        <v>73.0</v>
      </c>
      <c r="I612" s="14">
        <v>5054.17</v>
      </c>
      <c r="J612" s="13">
        <v>5990.0</v>
      </c>
      <c r="K612" s="13">
        <v>95840.0</v>
      </c>
      <c r="L612" s="10" t="s">
        <v>17</v>
      </c>
      <c r="M612" s="15">
        <f t="shared" si="1"/>
        <v>-0.3889287873</v>
      </c>
      <c r="N612" s="16">
        <v>113.3</v>
      </c>
    </row>
    <row r="613" ht="15.75" customHeight="1">
      <c r="A613" s="9" t="s">
        <v>660</v>
      </c>
      <c r="B613" s="10" t="s">
        <v>62</v>
      </c>
      <c r="C613" s="11">
        <v>46025.0</v>
      </c>
      <c r="D613" s="11">
        <v>46082.0</v>
      </c>
      <c r="E613" s="10" t="s">
        <v>35</v>
      </c>
      <c r="F613" s="12">
        <v>1283.0</v>
      </c>
      <c r="G613" s="13">
        <v>316.0</v>
      </c>
      <c r="H613" s="13">
        <v>61.0</v>
      </c>
      <c r="I613" s="14">
        <v>6875.44</v>
      </c>
      <c r="J613" s="13">
        <v>5623.0</v>
      </c>
      <c r="K613" s="13">
        <v>101214.0</v>
      </c>
      <c r="L613" s="10" t="s">
        <v>17</v>
      </c>
      <c r="M613" s="15">
        <f t="shared" si="1"/>
        <v>4.358877631</v>
      </c>
      <c r="N613" s="16">
        <v>21.03</v>
      </c>
    </row>
    <row r="614" ht="15.75" customHeight="1">
      <c r="A614" s="9" t="s">
        <v>661</v>
      </c>
      <c r="B614" s="10" t="s">
        <v>62</v>
      </c>
      <c r="C614" s="11">
        <v>46144.0</v>
      </c>
      <c r="D614" s="11">
        <v>46185.0</v>
      </c>
      <c r="E614" s="10" t="s">
        <v>26</v>
      </c>
      <c r="F614" s="12">
        <v>6444.0</v>
      </c>
      <c r="G614" s="13">
        <v>354.0</v>
      </c>
      <c r="H614" s="13">
        <v>13.0</v>
      </c>
      <c r="I614" s="14">
        <v>1795.42</v>
      </c>
      <c r="J614" s="13">
        <v>19159.0</v>
      </c>
      <c r="K614" s="13">
        <v>325703.0</v>
      </c>
      <c r="L614" s="10" t="s">
        <v>17</v>
      </c>
      <c r="M614" s="15">
        <f t="shared" si="1"/>
        <v>-0.7213811297</v>
      </c>
      <c r="N614" s="16">
        <v>495.69</v>
      </c>
    </row>
    <row r="615" ht="15.75" customHeight="1">
      <c r="A615" s="9" t="s">
        <v>662</v>
      </c>
      <c r="B615" s="10" t="s">
        <v>47</v>
      </c>
      <c r="C615" s="11">
        <v>46054.0</v>
      </c>
      <c r="D615" s="11">
        <v>46062.0</v>
      </c>
      <c r="E615" s="10" t="s">
        <v>16</v>
      </c>
      <c r="F615" s="12">
        <v>31158.0</v>
      </c>
      <c r="G615" s="13">
        <v>4897.0</v>
      </c>
      <c r="H615" s="13">
        <v>540.0</v>
      </c>
      <c r="I615" s="14">
        <v>85397.58</v>
      </c>
      <c r="J615" s="13">
        <v>22100.0</v>
      </c>
      <c r="K615" s="13">
        <v>353600.0</v>
      </c>
      <c r="L615" s="10" t="s">
        <v>17</v>
      </c>
      <c r="M615" s="15">
        <f t="shared" si="1"/>
        <v>1.74079145</v>
      </c>
      <c r="N615" s="16">
        <v>57.7</v>
      </c>
    </row>
    <row r="616" ht="15.75" customHeight="1">
      <c r="A616" s="9" t="s">
        <v>663</v>
      </c>
      <c r="B616" s="10" t="s">
        <v>75</v>
      </c>
      <c r="C616" s="11">
        <v>45847.0</v>
      </c>
      <c r="D616" s="11">
        <v>45857.0</v>
      </c>
      <c r="E616" s="10" t="s">
        <v>26</v>
      </c>
      <c r="F616" s="12">
        <v>4217.0</v>
      </c>
      <c r="G616" s="13">
        <v>425.0</v>
      </c>
      <c r="H616" s="13">
        <v>30.0</v>
      </c>
      <c r="I616" s="14">
        <v>3248.65</v>
      </c>
      <c r="J616" s="13">
        <v>6677.0</v>
      </c>
      <c r="K616" s="13">
        <v>120186.0</v>
      </c>
      <c r="L616" s="10" t="s">
        <v>17</v>
      </c>
      <c r="M616" s="15">
        <f t="shared" si="1"/>
        <v>-0.2296300688</v>
      </c>
      <c r="N616" s="16">
        <v>140.57</v>
      </c>
    </row>
    <row r="617" ht="15.75" customHeight="1">
      <c r="A617" s="9" t="s">
        <v>664</v>
      </c>
      <c r="B617" s="10" t="s">
        <v>52</v>
      </c>
      <c r="C617" s="11">
        <v>46130.0</v>
      </c>
      <c r="D617" s="11">
        <v>46135.0</v>
      </c>
      <c r="E617" s="10" t="s">
        <v>16</v>
      </c>
      <c r="F617" s="12">
        <v>40535.0</v>
      </c>
      <c r="G617" s="13">
        <v>6634.0</v>
      </c>
      <c r="H617" s="13">
        <v>379.0</v>
      </c>
      <c r="I617" s="14">
        <v>19373.39</v>
      </c>
      <c r="J617" s="13">
        <v>33299.0</v>
      </c>
      <c r="K617" s="13">
        <v>632681.0</v>
      </c>
      <c r="L617" s="10" t="s">
        <v>17</v>
      </c>
      <c r="M617" s="15">
        <f t="shared" si="1"/>
        <v>-0.5220577279</v>
      </c>
      <c r="N617" s="16">
        <v>106.95</v>
      </c>
    </row>
    <row r="618" ht="15.75" customHeight="1">
      <c r="A618" s="9" t="s">
        <v>665</v>
      </c>
      <c r="B618" s="10" t="s">
        <v>28</v>
      </c>
      <c r="C618" s="11">
        <v>46118.0</v>
      </c>
      <c r="D618" s="11">
        <v>46124.0</v>
      </c>
      <c r="E618" s="10" t="s">
        <v>16</v>
      </c>
      <c r="F618" s="12">
        <v>41385.0</v>
      </c>
      <c r="G618" s="13">
        <v>2738.0</v>
      </c>
      <c r="H618" s="13">
        <v>285.0</v>
      </c>
      <c r="I618" s="14">
        <v>35775.44</v>
      </c>
      <c r="J618" s="13">
        <v>32088.0</v>
      </c>
      <c r="K618" s="13">
        <v>481320.0</v>
      </c>
      <c r="L618" s="10" t="s">
        <v>17</v>
      </c>
      <c r="M618" s="15">
        <f t="shared" si="1"/>
        <v>-0.1355457291</v>
      </c>
      <c r="N618" s="16">
        <v>145.21</v>
      </c>
    </row>
    <row r="619" ht="15.75" customHeight="1">
      <c r="A619" s="9" t="s">
        <v>667</v>
      </c>
      <c r="B619" s="10" t="s">
        <v>58</v>
      </c>
      <c r="C619" s="11">
        <v>46196.0</v>
      </c>
      <c r="D619" s="11">
        <v>46213.0</v>
      </c>
      <c r="E619" s="10" t="s">
        <v>16</v>
      </c>
      <c r="F619" s="12">
        <v>38371.0</v>
      </c>
      <c r="G619" s="13">
        <v>4968.0</v>
      </c>
      <c r="H619" s="13">
        <v>275.0</v>
      </c>
      <c r="I619" s="14">
        <v>22410.82</v>
      </c>
      <c r="J619" s="13">
        <v>53367.0</v>
      </c>
      <c r="K619" s="13">
        <v>426936.0</v>
      </c>
      <c r="L619" s="10" t="s">
        <v>17</v>
      </c>
      <c r="M619" s="15">
        <f t="shared" si="1"/>
        <v>-0.4159438117</v>
      </c>
      <c r="N619" s="16">
        <v>139.53</v>
      </c>
    </row>
    <row r="620" ht="15.75" customHeight="1">
      <c r="A620" s="9" t="s">
        <v>668</v>
      </c>
      <c r="B620" s="10" t="s">
        <v>58</v>
      </c>
      <c r="C620" s="11">
        <v>46120.0</v>
      </c>
      <c r="D620" s="11">
        <v>46127.0</v>
      </c>
      <c r="E620" s="10" t="s">
        <v>35</v>
      </c>
      <c r="F620" s="12">
        <v>1128.0</v>
      </c>
      <c r="G620" s="13">
        <v>147.0</v>
      </c>
      <c r="H620" s="13">
        <v>20.0</v>
      </c>
      <c r="I620" s="14">
        <v>2533.98</v>
      </c>
      <c r="J620" s="13">
        <v>6937.0</v>
      </c>
      <c r="K620" s="13">
        <v>138740.0</v>
      </c>
      <c r="L620" s="10" t="s">
        <v>17</v>
      </c>
      <c r="M620" s="15">
        <f t="shared" si="1"/>
        <v>1.24643617</v>
      </c>
      <c r="N620" s="16">
        <v>56.4</v>
      </c>
    </row>
    <row r="621" ht="15.75" customHeight="1">
      <c r="A621" s="9" t="s">
        <v>669</v>
      </c>
      <c r="B621" s="10" t="s">
        <v>38</v>
      </c>
      <c r="C621" s="11">
        <v>45975.0</v>
      </c>
      <c r="D621" s="11">
        <v>46013.0</v>
      </c>
      <c r="E621" s="10" t="s">
        <v>16</v>
      </c>
      <c r="F621" s="12">
        <v>31530.0</v>
      </c>
      <c r="G621" s="13">
        <v>4363.0</v>
      </c>
      <c r="H621" s="13">
        <v>507.0</v>
      </c>
      <c r="I621" s="14">
        <v>73670.79</v>
      </c>
      <c r="J621" s="13">
        <v>47782.0</v>
      </c>
      <c r="K621" s="13">
        <v>382256.0</v>
      </c>
      <c r="L621" s="10" t="s">
        <v>17</v>
      </c>
      <c r="M621" s="15">
        <f t="shared" si="1"/>
        <v>1.336529971</v>
      </c>
      <c r="N621" s="16">
        <v>62.19</v>
      </c>
    </row>
    <row r="622" ht="15.75" customHeight="1">
      <c r="A622" s="9" t="s">
        <v>670</v>
      </c>
      <c r="B622" s="10" t="s">
        <v>47</v>
      </c>
      <c r="C622" s="11">
        <v>45896.0</v>
      </c>
      <c r="D622" s="11">
        <v>45901.0</v>
      </c>
      <c r="E622" s="10" t="s">
        <v>26</v>
      </c>
      <c r="F622" s="12">
        <v>15196.0</v>
      </c>
      <c r="G622" s="13">
        <v>844.0</v>
      </c>
      <c r="H622" s="13">
        <v>57.0</v>
      </c>
      <c r="I622" s="14">
        <v>34763.38</v>
      </c>
      <c r="J622" s="13">
        <v>20378.0</v>
      </c>
      <c r="K622" s="13">
        <v>346426.0</v>
      </c>
      <c r="L622" s="10" t="s">
        <v>17</v>
      </c>
      <c r="M622" s="15">
        <f t="shared" si="1"/>
        <v>1.287666491</v>
      </c>
      <c r="N622" s="16">
        <v>266.6</v>
      </c>
    </row>
    <row r="623" ht="15.75" customHeight="1">
      <c r="A623" s="9" t="s">
        <v>671</v>
      </c>
      <c r="B623" s="10" t="s">
        <v>28</v>
      </c>
      <c r="C623" s="11">
        <v>46027.0</v>
      </c>
      <c r="D623" s="11">
        <v>46043.0</v>
      </c>
      <c r="E623" s="10" t="s">
        <v>26</v>
      </c>
      <c r="F623" s="12">
        <v>23660.0</v>
      </c>
      <c r="G623" s="13">
        <v>1312.0</v>
      </c>
      <c r="H623" s="13">
        <v>41.0</v>
      </c>
      <c r="I623" s="14">
        <v>1471.42</v>
      </c>
      <c r="J623" s="13">
        <v>42715.0</v>
      </c>
      <c r="K623" s="13">
        <v>598010.0</v>
      </c>
      <c r="L623" s="10" t="s">
        <v>17</v>
      </c>
      <c r="M623" s="15">
        <f t="shared" si="1"/>
        <v>-0.9378098056</v>
      </c>
      <c r="N623" s="16">
        <v>577.07</v>
      </c>
    </row>
    <row r="624" ht="15.75" customHeight="1">
      <c r="A624" s="9" t="s">
        <v>672</v>
      </c>
      <c r="B624" s="10" t="s">
        <v>28</v>
      </c>
      <c r="C624" s="11">
        <v>45872.0</v>
      </c>
      <c r="D624" s="11">
        <v>45900.0</v>
      </c>
      <c r="E624" s="10" t="s">
        <v>26</v>
      </c>
      <c r="F624" s="12">
        <v>24717.0</v>
      </c>
      <c r="G624" s="13">
        <v>2263.0</v>
      </c>
      <c r="H624" s="13">
        <v>96.0</v>
      </c>
      <c r="I624" s="14">
        <v>7341.64</v>
      </c>
      <c r="J624" s="13">
        <v>76690.0</v>
      </c>
      <c r="K624" s="13">
        <v>2300700.0</v>
      </c>
      <c r="L624" s="10" t="s">
        <v>17</v>
      </c>
      <c r="M624" s="15">
        <f t="shared" si="1"/>
        <v>-0.7029720435</v>
      </c>
      <c r="N624" s="16">
        <v>257.47</v>
      </c>
    </row>
    <row r="625" ht="15.75" customHeight="1">
      <c r="A625" s="9" t="s">
        <v>673</v>
      </c>
      <c r="B625" s="10" t="s">
        <v>56</v>
      </c>
      <c r="C625" s="11">
        <v>45935.0</v>
      </c>
      <c r="D625" s="11">
        <v>45953.0</v>
      </c>
      <c r="E625" s="10" t="s">
        <v>35</v>
      </c>
      <c r="F625" s="12">
        <v>4469.0</v>
      </c>
      <c r="G625" s="13">
        <v>949.0</v>
      </c>
      <c r="H625" s="13">
        <v>248.0</v>
      </c>
      <c r="I625" s="14">
        <v>39580.48</v>
      </c>
      <c r="J625" s="13">
        <v>8964.0</v>
      </c>
      <c r="K625" s="13">
        <v>80676.0</v>
      </c>
      <c r="L625" s="10" t="s">
        <v>17</v>
      </c>
      <c r="M625" s="15">
        <f t="shared" si="1"/>
        <v>7.856674871</v>
      </c>
      <c r="N625" s="16">
        <v>18.02</v>
      </c>
    </row>
    <row r="626" ht="15.75" customHeight="1">
      <c r="A626" s="9" t="s">
        <v>674</v>
      </c>
      <c r="B626" s="10" t="s">
        <v>19</v>
      </c>
      <c r="C626" s="11">
        <v>46030.0</v>
      </c>
      <c r="D626" s="11">
        <v>46075.0</v>
      </c>
      <c r="E626" s="10" t="s">
        <v>16</v>
      </c>
      <c r="F626" s="12">
        <v>31331.0</v>
      </c>
      <c r="G626" s="13">
        <v>3431.0</v>
      </c>
      <c r="H626" s="13">
        <v>495.0</v>
      </c>
      <c r="I626" s="14">
        <v>76137.27</v>
      </c>
      <c r="J626" s="13">
        <v>30103.0</v>
      </c>
      <c r="K626" s="13">
        <v>361236.0</v>
      </c>
      <c r="L626" s="10" t="s">
        <v>17</v>
      </c>
      <c r="M626" s="15">
        <f t="shared" si="1"/>
        <v>1.430093837</v>
      </c>
      <c r="N626" s="16">
        <v>63.29</v>
      </c>
    </row>
    <row r="627" ht="15.75" customHeight="1">
      <c r="A627" s="9" t="s">
        <v>675</v>
      </c>
      <c r="B627" s="10" t="s">
        <v>58</v>
      </c>
      <c r="C627" s="11">
        <v>46060.0</v>
      </c>
      <c r="D627" s="11">
        <v>46068.0</v>
      </c>
      <c r="E627" s="10" t="s">
        <v>16</v>
      </c>
      <c r="F627" s="12">
        <v>46462.0</v>
      </c>
      <c r="G627" s="13">
        <v>2471.0</v>
      </c>
      <c r="H627" s="13">
        <v>204.0</v>
      </c>
      <c r="I627" s="14">
        <v>31995.17</v>
      </c>
      <c r="J627" s="13">
        <v>72865.0</v>
      </c>
      <c r="K627" s="13">
        <v>2040220.0</v>
      </c>
      <c r="L627" s="10" t="s">
        <v>17</v>
      </c>
      <c r="M627" s="15">
        <f t="shared" si="1"/>
        <v>-0.3113690758</v>
      </c>
      <c r="N627" s="16">
        <v>227.75</v>
      </c>
    </row>
    <row r="628" ht="15.75" customHeight="1">
      <c r="A628" s="9" t="s">
        <v>676</v>
      </c>
      <c r="B628" s="10" t="s">
        <v>58</v>
      </c>
      <c r="C628" s="11">
        <v>46132.0</v>
      </c>
      <c r="D628" s="11">
        <v>46143.0</v>
      </c>
      <c r="E628" s="10" t="s">
        <v>26</v>
      </c>
      <c r="F628" s="12">
        <v>9244.0</v>
      </c>
      <c r="G628" s="13">
        <v>538.0</v>
      </c>
      <c r="H628" s="13">
        <v>37.0</v>
      </c>
      <c r="I628" s="14">
        <v>8430.12</v>
      </c>
      <c r="J628" s="13">
        <v>17188.0</v>
      </c>
      <c r="K628" s="13">
        <v>429700.0</v>
      </c>
      <c r="L628" s="10" t="s">
        <v>17</v>
      </c>
      <c r="M628" s="15">
        <f t="shared" si="1"/>
        <v>-0.08804413674</v>
      </c>
      <c r="N628" s="16">
        <v>249.84</v>
      </c>
    </row>
    <row r="629" ht="15.75" customHeight="1">
      <c r="A629" s="9" t="s">
        <v>677</v>
      </c>
      <c r="B629" s="10" t="s">
        <v>58</v>
      </c>
      <c r="C629" s="11">
        <v>46089.0</v>
      </c>
      <c r="D629" s="11">
        <v>46099.0</v>
      </c>
      <c r="E629" s="10" t="s">
        <v>35</v>
      </c>
      <c r="F629" s="12">
        <v>3466.0</v>
      </c>
      <c r="G629" s="13">
        <v>271.0</v>
      </c>
      <c r="H629" s="13">
        <v>66.0</v>
      </c>
      <c r="I629" s="14">
        <v>7976.91</v>
      </c>
      <c r="J629" s="13">
        <v>8080.0</v>
      </c>
      <c r="K629" s="13">
        <v>88880.0</v>
      </c>
      <c r="L629" s="10" t="s">
        <v>17</v>
      </c>
      <c r="M629" s="15">
        <f t="shared" si="1"/>
        <v>1.301474322</v>
      </c>
      <c r="N629" s="16">
        <v>52.52</v>
      </c>
    </row>
    <row r="630" ht="15.75" customHeight="1">
      <c r="A630" s="9" t="s">
        <v>678</v>
      </c>
      <c r="B630" s="10" t="s">
        <v>75</v>
      </c>
      <c r="C630" s="11">
        <v>45888.0</v>
      </c>
      <c r="D630" s="11">
        <v>45943.0</v>
      </c>
      <c r="E630" s="10" t="s">
        <v>16</v>
      </c>
      <c r="F630" s="12">
        <v>19517.0</v>
      </c>
      <c r="G630" s="13">
        <v>3287.0</v>
      </c>
      <c r="H630" s="13">
        <v>174.0</v>
      </c>
      <c r="I630" s="14">
        <v>5984.48</v>
      </c>
      <c r="J630" s="13">
        <v>36748.0</v>
      </c>
      <c r="K630" s="13">
        <v>734960.0</v>
      </c>
      <c r="L630" s="10" t="s">
        <v>17</v>
      </c>
      <c r="M630" s="15">
        <f t="shared" si="1"/>
        <v>-0.6933709074</v>
      </c>
      <c r="N630" s="16">
        <v>112.17</v>
      </c>
    </row>
    <row r="631" ht="15.75" customHeight="1">
      <c r="A631" s="9" t="s">
        <v>679</v>
      </c>
      <c r="B631" s="10" t="s">
        <v>47</v>
      </c>
      <c r="C631" s="11">
        <v>46058.0</v>
      </c>
      <c r="D631" s="11">
        <v>46100.0</v>
      </c>
      <c r="E631" s="10" t="s">
        <v>26</v>
      </c>
      <c r="F631" s="12">
        <v>21822.0</v>
      </c>
      <c r="G631" s="13">
        <v>1617.0</v>
      </c>
      <c r="H631" s="13">
        <v>121.0</v>
      </c>
      <c r="I631" s="14">
        <v>22673.25</v>
      </c>
      <c r="J631" s="13">
        <v>32037.0</v>
      </c>
      <c r="K631" s="13">
        <v>640740.0</v>
      </c>
      <c r="L631" s="10" t="s">
        <v>17</v>
      </c>
      <c r="M631" s="15">
        <f t="shared" si="1"/>
        <v>0.03900879846</v>
      </c>
      <c r="N631" s="16">
        <v>180.35</v>
      </c>
    </row>
    <row r="632" ht="15.75" customHeight="1">
      <c r="A632" s="9" t="s">
        <v>680</v>
      </c>
      <c r="B632" s="10" t="s">
        <v>15</v>
      </c>
      <c r="C632" s="11">
        <v>46018.0</v>
      </c>
      <c r="D632" s="11">
        <v>46064.0</v>
      </c>
      <c r="E632" s="10" t="s">
        <v>16</v>
      </c>
      <c r="F632" s="12">
        <v>39132.0</v>
      </c>
      <c r="G632" s="13">
        <v>2016.0</v>
      </c>
      <c r="H632" s="13">
        <v>361.0</v>
      </c>
      <c r="I632" s="14">
        <v>56912.89</v>
      </c>
      <c r="J632" s="13">
        <v>44469.0</v>
      </c>
      <c r="K632" s="13">
        <v>1245132.0</v>
      </c>
      <c r="L632" s="10" t="s">
        <v>17</v>
      </c>
      <c r="M632" s="15">
        <f t="shared" si="1"/>
        <v>0.4543823469</v>
      </c>
      <c r="N632" s="16">
        <v>108.4</v>
      </c>
    </row>
    <row r="633" ht="15.75" customHeight="1">
      <c r="A633" s="9" t="s">
        <v>681</v>
      </c>
      <c r="B633" s="10" t="s">
        <v>47</v>
      </c>
      <c r="C633" s="11">
        <v>46079.0</v>
      </c>
      <c r="D633" s="11">
        <v>46084.0</v>
      </c>
      <c r="E633" s="10" t="s">
        <v>16</v>
      </c>
      <c r="F633" s="12">
        <v>28159.0</v>
      </c>
      <c r="G633" s="13">
        <v>1593.0</v>
      </c>
      <c r="H633" s="13">
        <v>143.0</v>
      </c>
      <c r="I633" s="14">
        <v>54150.28</v>
      </c>
      <c r="J633" s="13">
        <v>22048.0</v>
      </c>
      <c r="K633" s="13">
        <v>485056.0</v>
      </c>
      <c r="L633" s="10" t="s">
        <v>17</v>
      </c>
      <c r="M633" s="15">
        <f t="shared" si="1"/>
        <v>0.9230185731</v>
      </c>
      <c r="N633" s="16">
        <v>196.92</v>
      </c>
    </row>
    <row r="634" ht="15.75" customHeight="1">
      <c r="A634" s="9" t="s">
        <v>682</v>
      </c>
      <c r="B634" s="10" t="s">
        <v>58</v>
      </c>
      <c r="C634" s="11">
        <v>46113.0</v>
      </c>
      <c r="D634" s="11">
        <v>46157.0</v>
      </c>
      <c r="E634" s="10" t="s">
        <v>26</v>
      </c>
      <c r="F634" s="12">
        <v>4096.0</v>
      </c>
      <c r="G634" s="13">
        <v>333.0</v>
      </c>
      <c r="H634" s="13">
        <v>11.0</v>
      </c>
      <c r="I634" s="14">
        <v>2688.15</v>
      </c>
      <c r="J634" s="13">
        <v>11052.0</v>
      </c>
      <c r="K634" s="13">
        <v>110520.0</v>
      </c>
      <c r="L634" s="10" t="s">
        <v>17</v>
      </c>
      <c r="M634" s="15">
        <f t="shared" si="1"/>
        <v>-0.3437133789</v>
      </c>
      <c r="N634" s="16">
        <v>372.36</v>
      </c>
    </row>
    <row r="635" ht="15.75" customHeight="1">
      <c r="A635" s="9" t="s">
        <v>683</v>
      </c>
      <c r="B635" s="10" t="s">
        <v>47</v>
      </c>
      <c r="C635" s="11">
        <v>45929.0</v>
      </c>
      <c r="D635" s="11">
        <v>45981.0</v>
      </c>
      <c r="E635" s="10" t="s">
        <v>35</v>
      </c>
      <c r="F635" s="12">
        <v>3886.0</v>
      </c>
      <c r="G635" s="13">
        <v>411.0</v>
      </c>
      <c r="H635" s="13">
        <v>44.0</v>
      </c>
      <c r="I635" s="14">
        <v>218005.05</v>
      </c>
      <c r="J635" s="13">
        <v>18164.0</v>
      </c>
      <c r="K635" s="13">
        <v>199804.0</v>
      </c>
      <c r="L635" s="10" t="s">
        <v>17</v>
      </c>
      <c r="M635" s="15">
        <f t="shared" si="1"/>
        <v>55.1001158</v>
      </c>
      <c r="N635" s="16">
        <v>88.32</v>
      </c>
    </row>
    <row r="636" ht="15.75" customHeight="1">
      <c r="A636" s="9" t="s">
        <v>684</v>
      </c>
      <c r="B636" s="10" t="s">
        <v>47</v>
      </c>
      <c r="C636" s="11">
        <v>46044.0</v>
      </c>
      <c r="D636" s="11">
        <v>46079.0</v>
      </c>
      <c r="E636" s="10" t="s">
        <v>26</v>
      </c>
      <c r="F636" s="12">
        <v>10470.0</v>
      </c>
      <c r="G636" s="13">
        <v>1763.0</v>
      </c>
      <c r="H636" s="13">
        <v>131.0</v>
      </c>
      <c r="I636" s="14">
        <v>10064.87</v>
      </c>
      <c r="J636" s="13">
        <v>12685.0</v>
      </c>
      <c r="K636" s="13">
        <v>202960.0</v>
      </c>
      <c r="L636" s="10" t="s">
        <v>17</v>
      </c>
      <c r="M636" s="15">
        <f t="shared" si="1"/>
        <v>-0.03869436485</v>
      </c>
      <c r="N636" s="16">
        <v>79.92</v>
      </c>
    </row>
    <row r="637" ht="15.75" customHeight="1">
      <c r="A637" s="9" t="s">
        <v>685</v>
      </c>
      <c r="B637" s="10" t="s">
        <v>56</v>
      </c>
      <c r="C637" s="11">
        <v>46125.0</v>
      </c>
      <c r="D637" s="11">
        <v>46130.0</v>
      </c>
      <c r="E637" s="10" t="s">
        <v>16</v>
      </c>
      <c r="F637" s="12">
        <v>22220.0</v>
      </c>
      <c r="G637" s="13">
        <v>1393.0</v>
      </c>
      <c r="H637" s="13">
        <v>106.0</v>
      </c>
      <c r="I637" s="14">
        <v>35789.49</v>
      </c>
      <c r="J637" s="13">
        <v>27763.0</v>
      </c>
      <c r="K637" s="13">
        <v>471971.0</v>
      </c>
      <c r="L637" s="10" t="s">
        <v>17</v>
      </c>
      <c r="M637" s="15">
        <f t="shared" si="1"/>
        <v>0.6106881188</v>
      </c>
      <c r="N637" s="16">
        <v>209.62</v>
      </c>
    </row>
    <row r="638" ht="15.75" customHeight="1">
      <c r="A638" s="9" t="s">
        <v>686</v>
      </c>
      <c r="B638" s="10" t="s">
        <v>52</v>
      </c>
      <c r="C638" s="11">
        <v>45935.0</v>
      </c>
      <c r="D638" s="11">
        <v>45980.0</v>
      </c>
      <c r="E638" s="10" t="s">
        <v>35</v>
      </c>
      <c r="F638" s="12">
        <v>4689.0</v>
      </c>
      <c r="G638" s="13">
        <v>693.0</v>
      </c>
      <c r="H638" s="13">
        <v>135.0</v>
      </c>
      <c r="I638" s="14">
        <v>20014.46</v>
      </c>
      <c r="J638" s="13">
        <v>20845.0</v>
      </c>
      <c r="K638" s="13">
        <v>250140.0</v>
      </c>
      <c r="L638" s="10" t="s">
        <v>17</v>
      </c>
      <c r="M638" s="15">
        <f t="shared" si="1"/>
        <v>3.268385583</v>
      </c>
      <c r="N638" s="16">
        <v>34.73</v>
      </c>
    </row>
    <row r="639" ht="15.75" customHeight="1">
      <c r="A639" s="9" t="s">
        <v>687</v>
      </c>
      <c r="B639" s="10" t="s">
        <v>47</v>
      </c>
      <c r="C639" s="11">
        <v>45965.0</v>
      </c>
      <c r="D639" s="11">
        <v>46008.0</v>
      </c>
      <c r="E639" s="10" t="s">
        <v>16</v>
      </c>
      <c r="F639" s="12">
        <v>56375.0</v>
      </c>
      <c r="G639" s="13">
        <v>2966.0</v>
      </c>
      <c r="H639" s="13">
        <v>307.0</v>
      </c>
      <c r="I639" s="14">
        <v>56978.14</v>
      </c>
      <c r="J639" s="13">
        <v>50083.0</v>
      </c>
      <c r="K639" s="13">
        <v>701162.0</v>
      </c>
      <c r="L639" s="10" t="s">
        <v>17</v>
      </c>
      <c r="M639" s="15">
        <f t="shared" si="1"/>
        <v>0.01069871397</v>
      </c>
      <c r="N639" s="16">
        <v>183.63</v>
      </c>
    </row>
    <row r="640" ht="15.75" customHeight="1">
      <c r="A640" s="9" t="s">
        <v>688</v>
      </c>
      <c r="B640" s="10" t="s">
        <v>52</v>
      </c>
      <c r="C640" s="11">
        <v>45954.0</v>
      </c>
      <c r="D640" s="11">
        <v>46004.0</v>
      </c>
      <c r="E640" s="10" t="s">
        <v>35</v>
      </c>
      <c r="F640" s="12">
        <v>1843.0</v>
      </c>
      <c r="G640" s="13">
        <v>151.0</v>
      </c>
      <c r="H640" s="13">
        <v>29.0</v>
      </c>
      <c r="I640" s="14">
        <v>3775.37</v>
      </c>
      <c r="J640" s="13">
        <v>3821.0</v>
      </c>
      <c r="K640" s="13">
        <v>38210.0</v>
      </c>
      <c r="L640" s="10" t="s">
        <v>17</v>
      </c>
      <c r="M640" s="15">
        <f t="shared" si="1"/>
        <v>1.04849159</v>
      </c>
      <c r="N640" s="16">
        <v>63.55</v>
      </c>
    </row>
    <row r="641" ht="15.75" customHeight="1">
      <c r="A641" s="9" t="s">
        <v>689</v>
      </c>
      <c r="B641" s="10" t="s">
        <v>58</v>
      </c>
      <c r="C641" s="11">
        <v>45913.0</v>
      </c>
      <c r="D641" s="11">
        <v>45965.0</v>
      </c>
      <c r="E641" s="10" t="s">
        <v>35</v>
      </c>
      <c r="F641" s="12">
        <v>1127.0</v>
      </c>
      <c r="G641" s="13">
        <v>98.0</v>
      </c>
      <c r="H641" s="13">
        <v>17.0</v>
      </c>
      <c r="I641" s="14">
        <v>3558.43</v>
      </c>
      <c r="J641" s="13">
        <v>3918.0</v>
      </c>
      <c r="K641" s="13">
        <v>90114.0</v>
      </c>
      <c r="L641" s="10" t="s">
        <v>17</v>
      </c>
      <c r="M641" s="15">
        <f t="shared" si="1"/>
        <v>2.15743567</v>
      </c>
      <c r="N641" s="16">
        <v>66.29</v>
      </c>
    </row>
    <row r="642" ht="15.75" customHeight="1">
      <c r="A642" s="9" t="s">
        <v>690</v>
      </c>
      <c r="B642" s="10" t="s">
        <v>58</v>
      </c>
      <c r="C642" s="11">
        <v>45999.0</v>
      </c>
      <c r="D642" s="11">
        <v>46059.0</v>
      </c>
      <c r="E642" s="10" t="s">
        <v>16</v>
      </c>
      <c r="F642" s="12">
        <v>28244.0</v>
      </c>
      <c r="G642" s="13">
        <v>2949.0</v>
      </c>
      <c r="H642" s="13">
        <v>495.0</v>
      </c>
      <c r="I642" s="14">
        <v>54282.53</v>
      </c>
      <c r="J642" s="13">
        <v>26494.0</v>
      </c>
      <c r="K642" s="13">
        <v>768326.0</v>
      </c>
      <c r="L642" s="10" t="s">
        <v>17</v>
      </c>
      <c r="M642" s="15">
        <f t="shared" si="1"/>
        <v>0.9219136808</v>
      </c>
      <c r="N642" s="16">
        <v>57.06</v>
      </c>
    </row>
    <row r="643" ht="15.75" customHeight="1">
      <c r="A643" s="9" t="s">
        <v>691</v>
      </c>
      <c r="B643" s="10" t="s">
        <v>62</v>
      </c>
      <c r="C643" s="11">
        <v>46190.0</v>
      </c>
      <c r="D643" s="11">
        <v>46236.0</v>
      </c>
      <c r="E643" s="10" t="s">
        <v>26</v>
      </c>
      <c r="F643" s="12">
        <v>14345.0</v>
      </c>
      <c r="G643" s="13">
        <v>1972.0</v>
      </c>
      <c r="H643" s="13">
        <v>123.0</v>
      </c>
      <c r="I643" s="14">
        <v>15761.62</v>
      </c>
      <c r="J643" s="13">
        <v>22707.0</v>
      </c>
      <c r="K643" s="13">
        <v>613089.0</v>
      </c>
      <c r="L643" s="10" t="s">
        <v>17</v>
      </c>
      <c r="M643" s="15">
        <f t="shared" si="1"/>
        <v>0.09875357267</v>
      </c>
      <c r="N643" s="16">
        <v>116.63</v>
      </c>
    </row>
    <row r="644" ht="15.75" customHeight="1">
      <c r="A644" s="9" t="s">
        <v>692</v>
      </c>
      <c r="B644" s="10" t="s">
        <v>56</v>
      </c>
      <c r="C644" s="11">
        <v>46030.0</v>
      </c>
      <c r="D644" s="11">
        <v>46048.0</v>
      </c>
      <c r="E644" s="10" t="s">
        <v>35</v>
      </c>
      <c r="F644" s="12">
        <v>4008.0</v>
      </c>
      <c r="G644" s="13">
        <v>306.0</v>
      </c>
      <c r="H644" s="13">
        <v>310.0</v>
      </c>
      <c r="I644" s="14">
        <v>7570.42</v>
      </c>
      <c r="J644" s="13">
        <v>16375.0</v>
      </c>
      <c r="K644" s="13">
        <v>327500.0</v>
      </c>
      <c r="L644" s="10" t="s">
        <v>17</v>
      </c>
      <c r="M644" s="15">
        <f t="shared" si="1"/>
        <v>0.8888273453</v>
      </c>
      <c r="N644" s="16">
        <v>12.93</v>
      </c>
    </row>
    <row r="645" ht="15.75" customHeight="1">
      <c r="A645" s="9" t="s">
        <v>693</v>
      </c>
      <c r="B645" s="10" t="s">
        <v>28</v>
      </c>
      <c r="C645" s="11">
        <v>46120.0</v>
      </c>
      <c r="D645" s="11">
        <v>46160.0</v>
      </c>
      <c r="E645" s="10" t="s">
        <v>16</v>
      </c>
      <c r="F645" s="12">
        <v>25159.0</v>
      </c>
      <c r="G645" s="13">
        <v>3049.0</v>
      </c>
      <c r="H645" s="13">
        <v>355.0</v>
      </c>
      <c r="I645" s="14">
        <v>79968.22</v>
      </c>
      <c r="J645" s="13">
        <v>27332.0</v>
      </c>
      <c r="K645" s="13">
        <v>327984.0</v>
      </c>
      <c r="L645" s="10" t="s">
        <v>17</v>
      </c>
      <c r="M645" s="15">
        <f t="shared" si="1"/>
        <v>2.178513454</v>
      </c>
      <c r="N645" s="16">
        <v>70.87</v>
      </c>
    </row>
    <row r="646" ht="15.75" customHeight="1">
      <c r="A646" s="9" t="s">
        <v>694</v>
      </c>
      <c r="B646" s="10" t="s">
        <v>52</v>
      </c>
      <c r="C646" s="11">
        <v>45951.0</v>
      </c>
      <c r="D646" s="11">
        <v>45993.0</v>
      </c>
      <c r="E646" s="10" t="s">
        <v>26</v>
      </c>
      <c r="F646" s="12">
        <v>22280.0</v>
      </c>
      <c r="G646" s="13">
        <v>1734.0</v>
      </c>
      <c r="H646" s="13">
        <v>94.0</v>
      </c>
      <c r="I646" s="14">
        <v>16329.27</v>
      </c>
      <c r="J646" s="13">
        <v>48430.0</v>
      </c>
      <c r="K646" s="13">
        <v>968600.0</v>
      </c>
      <c r="L646" s="10" t="s">
        <v>17</v>
      </c>
      <c r="M646" s="15">
        <f t="shared" si="1"/>
        <v>-0.2670884201</v>
      </c>
      <c r="N646" s="16">
        <v>237.02</v>
      </c>
    </row>
    <row r="647" ht="15.75" customHeight="1">
      <c r="A647" s="9" t="s">
        <v>695</v>
      </c>
      <c r="B647" s="10" t="s">
        <v>56</v>
      </c>
      <c r="C647" s="11">
        <v>45957.0</v>
      </c>
      <c r="D647" s="11">
        <v>45966.0</v>
      </c>
      <c r="E647" s="10" t="s">
        <v>16</v>
      </c>
      <c r="F647" s="12">
        <v>12373.0</v>
      </c>
      <c r="G647" s="13">
        <v>1931.0</v>
      </c>
      <c r="H647" s="13">
        <v>199.0</v>
      </c>
      <c r="I647" s="14">
        <v>155434.74</v>
      </c>
      <c r="J647" s="13">
        <v>13105.0</v>
      </c>
      <c r="K647" s="13">
        <v>275205.0</v>
      </c>
      <c r="L647" s="10" t="s">
        <v>17</v>
      </c>
      <c r="M647" s="15">
        <f t="shared" si="1"/>
        <v>11.56241332</v>
      </c>
      <c r="N647" s="16">
        <v>62.18</v>
      </c>
    </row>
    <row r="648" ht="15.75" customHeight="1">
      <c r="A648" s="9" t="s">
        <v>696</v>
      </c>
      <c r="B648" s="10" t="s">
        <v>38</v>
      </c>
      <c r="C648" s="11">
        <v>46037.0</v>
      </c>
      <c r="D648" s="11">
        <v>46093.0</v>
      </c>
      <c r="E648" s="10" t="s">
        <v>16</v>
      </c>
      <c r="F648" s="12">
        <v>35979.0</v>
      </c>
      <c r="G648" s="13">
        <v>2358.0</v>
      </c>
      <c r="H648" s="13">
        <v>303.0</v>
      </c>
      <c r="I648" s="14">
        <v>48470.4</v>
      </c>
      <c r="J648" s="13">
        <v>41214.0</v>
      </c>
      <c r="K648" s="13">
        <v>824280.0</v>
      </c>
      <c r="L648" s="10" t="s">
        <v>17</v>
      </c>
      <c r="M648" s="15">
        <f t="shared" si="1"/>
        <v>0.3471858584</v>
      </c>
      <c r="N648" s="16">
        <v>118.74</v>
      </c>
    </row>
    <row r="649" ht="15.75" customHeight="1">
      <c r="A649" s="9" t="s">
        <v>697</v>
      </c>
      <c r="B649" s="10" t="s">
        <v>15</v>
      </c>
      <c r="C649" s="11">
        <v>46079.0</v>
      </c>
      <c r="D649" s="11">
        <v>46083.0</v>
      </c>
      <c r="E649" s="10" t="s">
        <v>16</v>
      </c>
      <c r="F649" s="12">
        <v>51989.0</v>
      </c>
      <c r="G649" s="13">
        <v>3429.0</v>
      </c>
      <c r="H649" s="13">
        <v>588.0</v>
      </c>
      <c r="I649" s="14">
        <v>80186.18</v>
      </c>
      <c r="J649" s="13">
        <v>69870.0</v>
      </c>
      <c r="K649" s="13">
        <v>1537140.0</v>
      </c>
      <c r="L649" s="10" t="s">
        <v>17</v>
      </c>
      <c r="M649" s="15">
        <f t="shared" si="1"/>
        <v>0.5423681933</v>
      </c>
      <c r="N649" s="16">
        <v>88.42</v>
      </c>
    </row>
    <row r="650" ht="15.75" customHeight="1">
      <c r="A650" s="9" t="s">
        <v>698</v>
      </c>
      <c r="B650" s="10" t="s">
        <v>19</v>
      </c>
      <c r="C650" s="11">
        <v>45972.0</v>
      </c>
      <c r="D650" s="11">
        <v>46005.0</v>
      </c>
      <c r="E650" s="10" t="s">
        <v>26</v>
      </c>
      <c r="F650" s="12">
        <v>7680.0</v>
      </c>
      <c r="G650" s="13">
        <v>536.0</v>
      </c>
      <c r="H650" s="13">
        <v>16.0</v>
      </c>
      <c r="I650" s="14">
        <v>2630.87</v>
      </c>
      <c r="J650" s="13">
        <v>9455.0</v>
      </c>
      <c r="K650" s="13">
        <v>94550.0</v>
      </c>
      <c r="L650" s="10" t="s">
        <v>17</v>
      </c>
      <c r="M650" s="15">
        <f t="shared" si="1"/>
        <v>-0.6574388021</v>
      </c>
      <c r="N650" s="16">
        <v>480.0</v>
      </c>
    </row>
    <row r="651" ht="15.75" customHeight="1">
      <c r="A651" s="9" t="s">
        <v>699</v>
      </c>
      <c r="B651" s="10" t="s">
        <v>58</v>
      </c>
      <c r="C651" s="11">
        <v>45879.0</v>
      </c>
      <c r="D651" s="11">
        <v>45915.0</v>
      </c>
      <c r="E651" s="10" t="s">
        <v>26</v>
      </c>
      <c r="F651" s="12">
        <v>10860.0</v>
      </c>
      <c r="G651" s="13">
        <v>612.0</v>
      </c>
      <c r="H651" s="13">
        <v>28.0</v>
      </c>
      <c r="I651" s="14">
        <v>2991.87</v>
      </c>
      <c r="J651" s="13">
        <v>22820.0</v>
      </c>
      <c r="K651" s="13">
        <v>228200.0</v>
      </c>
      <c r="L651" s="10" t="s">
        <v>17</v>
      </c>
      <c r="M651" s="15">
        <f t="shared" si="1"/>
        <v>-0.7245055249</v>
      </c>
      <c r="N651" s="16">
        <v>387.86</v>
      </c>
    </row>
    <row r="652" ht="15.75" customHeight="1">
      <c r="A652" s="9" t="s">
        <v>700</v>
      </c>
      <c r="B652" s="10" t="s">
        <v>19</v>
      </c>
      <c r="C652" s="11">
        <v>46119.0</v>
      </c>
      <c r="D652" s="11">
        <v>46152.0</v>
      </c>
      <c r="E652" s="10" t="s">
        <v>26</v>
      </c>
      <c r="F652" s="12">
        <v>16369.0</v>
      </c>
      <c r="G652" s="13">
        <v>967.0</v>
      </c>
      <c r="H652" s="13">
        <v>71.0</v>
      </c>
      <c r="I652" s="14">
        <v>2080.34</v>
      </c>
      <c r="J652" s="13">
        <v>37055.0</v>
      </c>
      <c r="K652" s="13">
        <v>815210.0</v>
      </c>
      <c r="L652" s="10" t="s">
        <v>17</v>
      </c>
      <c r="M652" s="15">
        <f t="shared" si="1"/>
        <v>-0.8729097685</v>
      </c>
      <c r="N652" s="16">
        <v>230.55</v>
      </c>
    </row>
    <row r="653" ht="15.75" customHeight="1">
      <c r="A653" s="9" t="s">
        <v>701</v>
      </c>
      <c r="B653" s="10" t="s">
        <v>28</v>
      </c>
      <c r="C653" s="11">
        <v>46041.0</v>
      </c>
      <c r="D653" s="11">
        <v>46079.0</v>
      </c>
      <c r="E653" s="10" t="s">
        <v>35</v>
      </c>
      <c r="F653" s="12">
        <v>4108.0</v>
      </c>
      <c r="G653" s="13">
        <v>286.0</v>
      </c>
      <c r="H653" s="13">
        <v>79.0</v>
      </c>
      <c r="I653" s="14">
        <v>11732.55</v>
      </c>
      <c r="J653" s="13">
        <v>13111.0</v>
      </c>
      <c r="K653" s="13">
        <v>275331.0</v>
      </c>
      <c r="L653" s="10" t="s">
        <v>17</v>
      </c>
      <c r="M653" s="15">
        <f t="shared" si="1"/>
        <v>1.85602483</v>
      </c>
      <c r="N653" s="16">
        <v>52.0</v>
      </c>
    </row>
    <row r="654" ht="15.75" customHeight="1">
      <c r="A654" s="9" t="s">
        <v>702</v>
      </c>
      <c r="B654" s="10" t="s">
        <v>25</v>
      </c>
      <c r="C654" s="11">
        <v>46146.0</v>
      </c>
      <c r="D654" s="11">
        <v>46172.0</v>
      </c>
      <c r="E654" s="10" t="s">
        <v>26</v>
      </c>
      <c r="F654" s="12">
        <v>12279.0</v>
      </c>
      <c r="G654" s="13">
        <v>1213.0</v>
      </c>
      <c r="H654" s="13">
        <v>32.0</v>
      </c>
      <c r="I654" s="14">
        <v>2740.95</v>
      </c>
      <c r="J654" s="13">
        <v>14574.0</v>
      </c>
      <c r="K654" s="13">
        <v>174888.0</v>
      </c>
      <c r="L654" s="10" t="s">
        <v>17</v>
      </c>
      <c r="M654" s="15">
        <f t="shared" si="1"/>
        <v>-0.7767774249</v>
      </c>
      <c r="N654" s="16">
        <v>383.72</v>
      </c>
    </row>
    <row r="655" ht="15.75" customHeight="1">
      <c r="A655" s="9" t="s">
        <v>703</v>
      </c>
      <c r="B655" s="10" t="s">
        <v>52</v>
      </c>
      <c r="C655" s="11">
        <v>45993.0</v>
      </c>
      <c r="D655" s="11">
        <v>46021.0</v>
      </c>
      <c r="E655" s="10" t="s">
        <v>16</v>
      </c>
      <c r="F655" s="12">
        <v>23023.0</v>
      </c>
      <c r="G655" s="13">
        <v>1247.0</v>
      </c>
      <c r="H655" s="13">
        <v>85.0</v>
      </c>
      <c r="I655" s="14">
        <v>7517.96</v>
      </c>
      <c r="J655" s="13">
        <v>16439.0</v>
      </c>
      <c r="K655" s="13">
        <v>147951.0</v>
      </c>
      <c r="L655" s="10" t="s">
        <v>17</v>
      </c>
      <c r="M655" s="15">
        <f t="shared" si="1"/>
        <v>-0.6734587152</v>
      </c>
      <c r="N655" s="16">
        <v>270.86</v>
      </c>
    </row>
    <row r="656" ht="15.75" customHeight="1">
      <c r="A656" s="9" t="s">
        <v>704</v>
      </c>
      <c r="B656" s="10" t="s">
        <v>75</v>
      </c>
      <c r="C656" s="11">
        <v>46006.0</v>
      </c>
      <c r="D656" s="11">
        <v>46027.0</v>
      </c>
      <c r="E656" s="10" t="s">
        <v>26</v>
      </c>
      <c r="F656" s="12">
        <v>14557.0</v>
      </c>
      <c r="G656" s="13">
        <v>2437.0</v>
      </c>
      <c r="H656" s="13">
        <v>56.0</v>
      </c>
      <c r="I656" s="14">
        <v>24464.52</v>
      </c>
      <c r="J656" s="13">
        <v>23856.0</v>
      </c>
      <c r="K656" s="13">
        <v>238560.0</v>
      </c>
      <c r="L656" s="10" t="s">
        <v>17</v>
      </c>
      <c r="M656" s="15">
        <f t="shared" si="1"/>
        <v>0.6806017723</v>
      </c>
      <c r="N656" s="16">
        <v>259.95</v>
      </c>
    </row>
    <row r="657" ht="15.75" customHeight="1">
      <c r="A657" s="9" t="s">
        <v>705</v>
      </c>
      <c r="B657" s="10" t="s">
        <v>58</v>
      </c>
      <c r="C657" s="11">
        <v>46129.0</v>
      </c>
      <c r="D657" s="11">
        <v>46148.0</v>
      </c>
      <c r="E657" s="10" t="s">
        <v>16</v>
      </c>
      <c r="F657" s="12">
        <v>20802.0</v>
      </c>
      <c r="G657" s="13">
        <v>1172.0</v>
      </c>
      <c r="H657" s="13">
        <v>58.0</v>
      </c>
      <c r="I657" s="14">
        <v>2622.61</v>
      </c>
      <c r="J657" s="13">
        <v>36737.0</v>
      </c>
      <c r="K657" s="13">
        <v>367370.0</v>
      </c>
      <c r="L657" s="10" t="s">
        <v>17</v>
      </c>
      <c r="M657" s="15">
        <f t="shared" si="1"/>
        <v>-0.8739251034</v>
      </c>
      <c r="N657" s="16">
        <v>358.66</v>
      </c>
    </row>
    <row r="658" ht="15.75" customHeight="1">
      <c r="A658" s="9" t="s">
        <v>706</v>
      </c>
      <c r="B658" s="10" t="s">
        <v>19</v>
      </c>
      <c r="C658" s="11">
        <v>46143.0</v>
      </c>
      <c r="D658" s="11">
        <v>46195.0</v>
      </c>
      <c r="E658" s="10" t="s">
        <v>26</v>
      </c>
      <c r="F658" s="12">
        <v>10537.0</v>
      </c>
      <c r="G658" s="13">
        <v>897.0</v>
      </c>
      <c r="H658" s="13">
        <v>30.0</v>
      </c>
      <c r="I658" s="14">
        <v>3130.96</v>
      </c>
      <c r="J658" s="13">
        <v>33628.0</v>
      </c>
      <c r="K658" s="13">
        <v>571676.0</v>
      </c>
      <c r="L658" s="10" t="s">
        <v>17</v>
      </c>
      <c r="M658" s="15">
        <f t="shared" si="1"/>
        <v>-0.7028603967</v>
      </c>
      <c r="N658" s="16">
        <v>351.23</v>
      </c>
    </row>
    <row r="659" ht="15.75" customHeight="1">
      <c r="A659" s="9" t="s">
        <v>707</v>
      </c>
      <c r="B659" s="10" t="s">
        <v>75</v>
      </c>
      <c r="C659" s="11">
        <v>45951.0</v>
      </c>
      <c r="D659" s="11">
        <v>46010.0</v>
      </c>
      <c r="E659" s="10" t="s">
        <v>26</v>
      </c>
      <c r="F659" s="12">
        <v>10650.0</v>
      </c>
      <c r="G659" s="13">
        <v>1909.0</v>
      </c>
      <c r="H659" s="13">
        <v>91.0</v>
      </c>
      <c r="I659" s="14">
        <v>12345.15</v>
      </c>
      <c r="J659" s="13">
        <v>27171.0</v>
      </c>
      <c r="K659" s="13">
        <v>353223.0</v>
      </c>
      <c r="L659" s="10" t="s">
        <v>17</v>
      </c>
      <c r="M659" s="15">
        <f t="shared" si="1"/>
        <v>0.1591690141</v>
      </c>
      <c r="N659" s="16">
        <v>117.03</v>
      </c>
    </row>
    <row r="660" ht="15.75" customHeight="1">
      <c r="A660" s="9" t="s">
        <v>708</v>
      </c>
      <c r="B660" s="10" t="s">
        <v>58</v>
      </c>
      <c r="C660" s="11">
        <v>46046.0</v>
      </c>
      <c r="D660" s="11">
        <v>46076.0</v>
      </c>
      <c r="E660" s="10" t="s">
        <v>16</v>
      </c>
      <c r="F660" s="12">
        <v>22408.0</v>
      </c>
      <c r="G660" s="13">
        <v>3375.0</v>
      </c>
      <c r="H660" s="13">
        <v>294.0</v>
      </c>
      <c r="I660" s="14">
        <v>20913.49</v>
      </c>
      <c r="J660" s="13">
        <v>20176.0</v>
      </c>
      <c r="K660" s="13">
        <v>161408.0</v>
      </c>
      <c r="L660" s="10" t="s">
        <v>17</v>
      </c>
      <c r="M660" s="15">
        <f t="shared" si="1"/>
        <v>-0.06669537665</v>
      </c>
      <c r="N660" s="16">
        <v>76.22</v>
      </c>
    </row>
    <row r="661" ht="15.75" customHeight="1">
      <c r="A661" s="9" t="s">
        <v>709</v>
      </c>
      <c r="B661" s="10" t="s">
        <v>30</v>
      </c>
      <c r="C661" s="11">
        <v>45859.0</v>
      </c>
      <c r="D661" s="11">
        <v>45901.0</v>
      </c>
      <c r="E661" s="10" t="s">
        <v>26</v>
      </c>
      <c r="F661" s="12">
        <v>2506.0</v>
      </c>
      <c r="G661" s="13">
        <v>372.0</v>
      </c>
      <c r="H661" s="13">
        <v>25.0</v>
      </c>
      <c r="I661" s="14">
        <v>3279.42</v>
      </c>
      <c r="J661" s="13">
        <v>6033.0</v>
      </c>
      <c r="K661" s="13">
        <v>162891.0</v>
      </c>
      <c r="L661" s="10" t="s">
        <v>17</v>
      </c>
      <c r="M661" s="15">
        <f t="shared" si="1"/>
        <v>0.3086272945</v>
      </c>
      <c r="N661" s="16">
        <v>100.24</v>
      </c>
    </row>
    <row r="662" ht="15.75" customHeight="1">
      <c r="A662" s="9" t="s">
        <v>710</v>
      </c>
      <c r="B662" s="10" t="s">
        <v>15</v>
      </c>
      <c r="C662" s="11">
        <v>46197.0</v>
      </c>
      <c r="D662" s="11">
        <v>46232.0</v>
      </c>
      <c r="E662" s="10" t="s">
        <v>26</v>
      </c>
      <c r="F662" s="12">
        <v>5649.0</v>
      </c>
      <c r="G662" s="13">
        <v>661.0</v>
      </c>
      <c r="H662" s="13">
        <v>32.0</v>
      </c>
      <c r="I662" s="14">
        <v>3522.74</v>
      </c>
      <c r="J662" s="13">
        <v>13007.0</v>
      </c>
      <c r="K662" s="13">
        <v>221119.0</v>
      </c>
      <c r="L662" s="10" t="s">
        <v>17</v>
      </c>
      <c r="M662" s="15">
        <f t="shared" si="1"/>
        <v>-0.3763958223</v>
      </c>
      <c r="N662" s="16">
        <v>176.53</v>
      </c>
    </row>
    <row r="663" ht="15.75" customHeight="1">
      <c r="A663" s="9" t="s">
        <v>711</v>
      </c>
      <c r="B663" s="10" t="s">
        <v>15</v>
      </c>
      <c r="C663" s="11">
        <v>45997.0</v>
      </c>
      <c r="D663" s="11">
        <v>46042.0</v>
      </c>
      <c r="E663" s="10" t="s">
        <v>35</v>
      </c>
      <c r="F663" s="12">
        <v>3475.0</v>
      </c>
      <c r="G663" s="13">
        <v>227.0</v>
      </c>
      <c r="H663" s="13">
        <v>32.0</v>
      </c>
      <c r="I663" s="14">
        <v>1499.67</v>
      </c>
      <c r="J663" s="13">
        <v>11157.0</v>
      </c>
      <c r="K663" s="13">
        <v>111570.0</v>
      </c>
      <c r="L663" s="10" t="s">
        <v>17</v>
      </c>
      <c r="M663" s="15">
        <f t="shared" si="1"/>
        <v>-0.5684402878</v>
      </c>
      <c r="N663" s="16">
        <v>108.59</v>
      </c>
    </row>
    <row r="664" ht="15.75" customHeight="1">
      <c r="A664" s="9" t="s">
        <v>712</v>
      </c>
      <c r="B664" s="10" t="s">
        <v>30</v>
      </c>
      <c r="C664" s="11">
        <v>46061.0</v>
      </c>
      <c r="D664" s="11">
        <v>46090.0</v>
      </c>
      <c r="E664" s="10" t="s">
        <v>35</v>
      </c>
      <c r="F664" s="12">
        <v>1804.0</v>
      </c>
      <c r="G664" s="13">
        <v>122.0</v>
      </c>
      <c r="H664" s="13">
        <v>34.0</v>
      </c>
      <c r="I664" s="14">
        <v>5569.9</v>
      </c>
      <c r="J664" s="13">
        <v>4699.0</v>
      </c>
      <c r="K664" s="13">
        <v>93980.0</v>
      </c>
      <c r="L664" s="10" t="s">
        <v>17</v>
      </c>
      <c r="M664" s="15">
        <f t="shared" si="1"/>
        <v>2.087527716</v>
      </c>
      <c r="N664" s="16">
        <v>53.06</v>
      </c>
    </row>
    <row r="665" ht="15.75" customHeight="1">
      <c r="A665" s="9" t="s">
        <v>713</v>
      </c>
      <c r="B665" s="10" t="s">
        <v>25</v>
      </c>
      <c r="C665" s="11">
        <v>46093.0</v>
      </c>
      <c r="D665" s="11">
        <v>46125.0</v>
      </c>
      <c r="E665" s="10" t="s">
        <v>26</v>
      </c>
      <c r="F665" s="12">
        <v>24072.0</v>
      </c>
      <c r="G665" s="13">
        <v>1352.0</v>
      </c>
      <c r="H665" s="13">
        <v>105.0</v>
      </c>
      <c r="I665" s="14">
        <v>14325.81</v>
      </c>
      <c r="J665" s="13">
        <v>31252.0</v>
      </c>
      <c r="K665" s="13">
        <v>812552.0</v>
      </c>
      <c r="L665" s="10" t="s">
        <v>17</v>
      </c>
      <c r="M665" s="15">
        <f t="shared" si="1"/>
        <v>-0.4048766201</v>
      </c>
      <c r="N665" s="16">
        <v>229.26</v>
      </c>
    </row>
    <row r="666" ht="15.75" customHeight="1">
      <c r="A666" s="9" t="s">
        <v>714</v>
      </c>
      <c r="B666" s="10" t="s">
        <v>47</v>
      </c>
      <c r="C666" s="11">
        <v>46162.0</v>
      </c>
      <c r="D666" s="11">
        <v>46188.0</v>
      </c>
      <c r="E666" s="10" t="s">
        <v>35</v>
      </c>
      <c r="F666" s="12">
        <v>3609.0</v>
      </c>
      <c r="G666" s="13">
        <v>892.0</v>
      </c>
      <c r="H666" s="13">
        <v>231.0</v>
      </c>
      <c r="I666" s="14">
        <v>33038.56</v>
      </c>
      <c r="J666" s="13">
        <v>12863.0</v>
      </c>
      <c r="K666" s="13">
        <v>308712.0</v>
      </c>
      <c r="L666" s="10" t="s">
        <v>17</v>
      </c>
      <c r="M666" s="15">
        <f t="shared" si="1"/>
        <v>8.154491549</v>
      </c>
      <c r="N666" s="16">
        <v>15.62</v>
      </c>
    </row>
    <row r="667" ht="15.75" customHeight="1">
      <c r="A667" s="9" t="s">
        <v>715</v>
      </c>
      <c r="B667" s="10" t="s">
        <v>56</v>
      </c>
      <c r="C667" s="11">
        <v>46152.0</v>
      </c>
      <c r="D667" s="11">
        <v>46167.0</v>
      </c>
      <c r="E667" s="10" t="s">
        <v>16</v>
      </c>
      <c r="F667" s="12">
        <v>35504.0</v>
      </c>
      <c r="G667" s="13">
        <v>7666.0</v>
      </c>
      <c r="H667" s="13">
        <v>1150.0</v>
      </c>
      <c r="I667" s="14">
        <v>252836.3</v>
      </c>
      <c r="J667" s="13">
        <v>28835.0</v>
      </c>
      <c r="K667" s="13">
        <v>230680.0</v>
      </c>
      <c r="L667" s="10" t="s">
        <v>17</v>
      </c>
      <c r="M667" s="15">
        <f t="shared" si="1"/>
        <v>6.12134689</v>
      </c>
      <c r="N667" s="16">
        <v>30.87</v>
      </c>
    </row>
    <row r="668" ht="15.75" customHeight="1">
      <c r="A668" s="9" t="s">
        <v>716</v>
      </c>
      <c r="B668" s="10" t="s">
        <v>56</v>
      </c>
      <c r="C668" s="11">
        <v>46052.0</v>
      </c>
      <c r="D668" s="11">
        <v>46084.0</v>
      </c>
      <c r="E668" s="10" t="s">
        <v>35</v>
      </c>
      <c r="F668" s="12">
        <v>2691.0</v>
      </c>
      <c r="G668" s="13">
        <v>355.0</v>
      </c>
      <c r="H668" s="13">
        <v>101.0</v>
      </c>
      <c r="I668" s="14">
        <v>10455.99</v>
      </c>
      <c r="J668" s="13">
        <v>6085.0</v>
      </c>
      <c r="K668" s="13">
        <v>121700.0</v>
      </c>
      <c r="L668" s="10" t="s">
        <v>17</v>
      </c>
      <c r="M668" s="15">
        <f t="shared" si="1"/>
        <v>2.885540691</v>
      </c>
      <c r="N668" s="16">
        <v>26.64</v>
      </c>
    </row>
    <row r="669" ht="15.75" customHeight="1">
      <c r="A669" s="9" t="s">
        <v>717</v>
      </c>
      <c r="B669" s="10" t="s">
        <v>56</v>
      </c>
      <c r="C669" s="11">
        <v>45840.0</v>
      </c>
      <c r="D669" s="11">
        <v>45870.0</v>
      </c>
      <c r="E669" s="10" t="s">
        <v>26</v>
      </c>
      <c r="F669" s="12">
        <v>4065.0</v>
      </c>
      <c r="G669" s="13">
        <v>485.0</v>
      </c>
      <c r="H669" s="13">
        <v>37.0</v>
      </c>
      <c r="I669" s="14">
        <v>7061.59</v>
      </c>
      <c r="J669" s="13">
        <v>5201.0</v>
      </c>
      <c r="K669" s="13">
        <v>145628.0</v>
      </c>
      <c r="L669" s="10" t="s">
        <v>17</v>
      </c>
      <c r="M669" s="15">
        <f t="shared" si="1"/>
        <v>0.7371685117</v>
      </c>
      <c r="N669" s="16">
        <v>109.86</v>
      </c>
    </row>
    <row r="670" ht="15.75" customHeight="1">
      <c r="A670" s="9" t="s">
        <v>718</v>
      </c>
      <c r="B670" s="10" t="s">
        <v>19</v>
      </c>
      <c r="C670" s="11">
        <v>46170.0</v>
      </c>
      <c r="D670" s="11">
        <v>46188.0</v>
      </c>
      <c r="E670" s="10" t="s">
        <v>26</v>
      </c>
      <c r="F670" s="12">
        <v>18224.0</v>
      </c>
      <c r="G670" s="13">
        <v>1139.0</v>
      </c>
      <c r="H670" s="13">
        <v>24.0</v>
      </c>
      <c r="I670" s="14">
        <v>2306.88</v>
      </c>
      <c r="J670" s="13">
        <v>48221.0</v>
      </c>
      <c r="K670" s="13">
        <v>626873.0</v>
      </c>
      <c r="L670" s="10" t="s">
        <v>17</v>
      </c>
      <c r="M670" s="15">
        <f t="shared" si="1"/>
        <v>-0.8734152766</v>
      </c>
      <c r="N670" s="16">
        <v>759.33</v>
      </c>
    </row>
    <row r="671" ht="15.75" customHeight="1">
      <c r="A671" s="9" t="s">
        <v>719</v>
      </c>
      <c r="B671" s="10" t="s">
        <v>19</v>
      </c>
      <c r="C671" s="11">
        <v>46166.0</v>
      </c>
      <c r="D671" s="11">
        <v>46173.0</v>
      </c>
      <c r="E671" s="10" t="s">
        <v>35</v>
      </c>
      <c r="F671" s="12">
        <v>1424.0</v>
      </c>
      <c r="G671" s="13">
        <v>80.0</v>
      </c>
      <c r="H671" s="13">
        <v>23.0</v>
      </c>
      <c r="I671" s="14">
        <v>1018.16</v>
      </c>
      <c r="J671" s="13">
        <v>3125.0</v>
      </c>
      <c r="K671" s="13">
        <v>34375.0</v>
      </c>
      <c r="L671" s="10" t="s">
        <v>17</v>
      </c>
      <c r="M671" s="15">
        <f t="shared" si="1"/>
        <v>-0.285</v>
      </c>
      <c r="N671" s="16">
        <v>61.91</v>
      </c>
    </row>
    <row r="672" ht="15.75" customHeight="1">
      <c r="A672" s="9" t="s">
        <v>720</v>
      </c>
      <c r="B672" s="10" t="s">
        <v>75</v>
      </c>
      <c r="C672" s="11">
        <v>46101.0</v>
      </c>
      <c r="D672" s="11">
        <v>46153.0</v>
      </c>
      <c r="E672" s="10" t="s">
        <v>26</v>
      </c>
      <c r="F672" s="12">
        <v>15687.0</v>
      </c>
      <c r="G672" s="13">
        <v>1104.0</v>
      </c>
      <c r="H672" s="13">
        <v>36.0</v>
      </c>
      <c r="I672" s="14">
        <v>4871.36</v>
      </c>
      <c r="J672" s="13">
        <v>37883.0</v>
      </c>
      <c r="K672" s="13">
        <v>871309.0</v>
      </c>
      <c r="L672" s="10" t="s">
        <v>17</v>
      </c>
      <c r="M672" s="15">
        <f t="shared" si="1"/>
        <v>-0.6894651622</v>
      </c>
      <c r="N672" s="16">
        <v>435.75</v>
      </c>
    </row>
    <row r="673" ht="15.75" customHeight="1">
      <c r="A673" s="9" t="s">
        <v>721</v>
      </c>
      <c r="B673" s="10" t="s">
        <v>28</v>
      </c>
      <c r="C673" s="11">
        <v>45898.0</v>
      </c>
      <c r="D673" s="11">
        <v>45938.0</v>
      </c>
      <c r="E673" s="10" t="s">
        <v>16</v>
      </c>
      <c r="F673" s="12">
        <v>15897.0</v>
      </c>
      <c r="G673" s="13">
        <v>1239.0</v>
      </c>
      <c r="H673" s="13">
        <v>138.0</v>
      </c>
      <c r="I673" s="14">
        <v>22042.24</v>
      </c>
      <c r="J673" s="13">
        <v>15088.0</v>
      </c>
      <c r="K673" s="13">
        <v>377200.0</v>
      </c>
      <c r="L673" s="10" t="s">
        <v>17</v>
      </c>
      <c r="M673" s="15">
        <f t="shared" si="1"/>
        <v>0.3865660187</v>
      </c>
      <c r="N673" s="16">
        <v>115.2</v>
      </c>
    </row>
    <row r="674" ht="15.75" customHeight="1">
      <c r="A674" s="9" t="s">
        <v>722</v>
      </c>
      <c r="B674" s="10" t="s">
        <v>52</v>
      </c>
      <c r="C674" s="11">
        <v>45852.0</v>
      </c>
      <c r="D674" s="11">
        <v>45873.0</v>
      </c>
      <c r="E674" s="10" t="s">
        <v>16</v>
      </c>
      <c r="F674" s="12">
        <v>28479.0</v>
      </c>
      <c r="G674" s="13">
        <v>4594.0</v>
      </c>
      <c r="H674" s="13">
        <v>340.0</v>
      </c>
      <c r="I674" s="14">
        <v>48323.84</v>
      </c>
      <c r="J674" s="13">
        <v>48019.0</v>
      </c>
      <c r="K674" s="13">
        <v>864342.0</v>
      </c>
      <c r="L674" s="10" t="s">
        <v>17</v>
      </c>
      <c r="M674" s="15">
        <f t="shared" si="1"/>
        <v>0.6968236244</v>
      </c>
      <c r="N674" s="16">
        <v>83.76</v>
      </c>
    </row>
    <row r="675" ht="15.75" customHeight="1">
      <c r="A675" s="9" t="s">
        <v>723</v>
      </c>
      <c r="B675" s="10" t="s">
        <v>38</v>
      </c>
      <c r="C675" s="11">
        <v>45980.0</v>
      </c>
      <c r="D675" s="11">
        <v>46002.0</v>
      </c>
      <c r="E675" s="10" t="s">
        <v>26</v>
      </c>
      <c r="F675" s="12">
        <v>20529.0</v>
      </c>
      <c r="G675" s="13">
        <v>3892.0</v>
      </c>
      <c r="H675" s="13">
        <v>254.0</v>
      </c>
      <c r="I675" s="14">
        <v>48762.0</v>
      </c>
      <c r="J675" s="13">
        <v>24214.0</v>
      </c>
      <c r="K675" s="13">
        <v>266354.0</v>
      </c>
      <c r="L675" s="10" t="s">
        <v>17</v>
      </c>
      <c r="M675" s="15">
        <f t="shared" si="1"/>
        <v>1.375274003</v>
      </c>
      <c r="N675" s="16">
        <v>80.82</v>
      </c>
    </row>
    <row r="676" ht="15.75" customHeight="1">
      <c r="A676" s="9" t="s">
        <v>724</v>
      </c>
      <c r="B676" s="10" t="s">
        <v>25</v>
      </c>
      <c r="C676" s="11">
        <v>46009.0</v>
      </c>
      <c r="D676" s="11">
        <v>46029.0</v>
      </c>
      <c r="E676" s="10" t="s">
        <v>26</v>
      </c>
      <c r="F676" s="12">
        <v>4205.0</v>
      </c>
      <c r="G676" s="13">
        <v>219.0</v>
      </c>
      <c r="H676" s="13">
        <v>6.0</v>
      </c>
      <c r="I676" s="14">
        <v>199.52</v>
      </c>
      <c r="J676" s="13">
        <v>11792.0</v>
      </c>
      <c r="K676" s="13">
        <v>294800.0</v>
      </c>
      <c r="L676" s="10" t="s">
        <v>17</v>
      </c>
      <c r="M676" s="15">
        <f t="shared" si="1"/>
        <v>-0.9525517241</v>
      </c>
      <c r="N676" s="16">
        <v>700.83</v>
      </c>
    </row>
    <row r="677" ht="15.75" customHeight="1">
      <c r="A677" s="9" t="s">
        <v>725</v>
      </c>
      <c r="B677" s="10" t="s">
        <v>58</v>
      </c>
      <c r="C677" s="11">
        <v>46130.0</v>
      </c>
      <c r="D677" s="11">
        <v>46177.0</v>
      </c>
      <c r="E677" s="10" t="s">
        <v>16</v>
      </c>
      <c r="F677" s="12">
        <v>13807.0</v>
      </c>
      <c r="G677" s="13">
        <v>1842.0</v>
      </c>
      <c r="H677" s="13">
        <v>243.0</v>
      </c>
      <c r="I677" s="14">
        <v>37394.19</v>
      </c>
      <c r="J677" s="13">
        <v>26713.0</v>
      </c>
      <c r="K677" s="13">
        <v>213704.0</v>
      </c>
      <c r="L677" s="10" t="s">
        <v>17</v>
      </c>
      <c r="M677" s="15">
        <f t="shared" si="1"/>
        <v>1.708350112</v>
      </c>
      <c r="N677" s="16">
        <v>56.82</v>
      </c>
    </row>
    <row r="678" ht="15.75" customHeight="1">
      <c r="A678" s="9" t="s">
        <v>726</v>
      </c>
      <c r="B678" s="10" t="s">
        <v>58</v>
      </c>
      <c r="C678" s="11">
        <v>45935.0</v>
      </c>
      <c r="D678" s="11">
        <v>45969.0</v>
      </c>
      <c r="E678" s="10" t="s">
        <v>35</v>
      </c>
      <c r="F678" s="12">
        <v>2748.0</v>
      </c>
      <c r="G678" s="13">
        <v>187.0</v>
      </c>
      <c r="H678" s="13">
        <v>20.0</v>
      </c>
      <c r="I678" s="14">
        <v>1624.71</v>
      </c>
      <c r="J678" s="13">
        <v>12275.0</v>
      </c>
      <c r="K678" s="13">
        <v>208675.0</v>
      </c>
      <c r="L678" s="10" t="s">
        <v>17</v>
      </c>
      <c r="M678" s="15">
        <f t="shared" si="1"/>
        <v>-0.4087663755</v>
      </c>
      <c r="N678" s="16">
        <v>137.4</v>
      </c>
    </row>
    <row r="679" ht="15.75" customHeight="1">
      <c r="A679" s="9" t="s">
        <v>727</v>
      </c>
      <c r="B679" s="10" t="s">
        <v>58</v>
      </c>
      <c r="C679" s="11">
        <v>46170.0</v>
      </c>
      <c r="D679" s="11">
        <v>46211.0</v>
      </c>
      <c r="E679" s="10" t="s">
        <v>16</v>
      </c>
      <c r="F679" s="12">
        <v>39615.0</v>
      </c>
      <c r="G679" s="13">
        <v>2944.0</v>
      </c>
      <c r="H679" s="13">
        <v>147.0</v>
      </c>
      <c r="I679" s="14">
        <v>27383.86</v>
      </c>
      <c r="J679" s="13">
        <v>64455.0</v>
      </c>
      <c r="K679" s="13">
        <v>966825.0</v>
      </c>
      <c r="L679" s="10" t="s">
        <v>17</v>
      </c>
      <c r="M679" s="15">
        <f t="shared" si="1"/>
        <v>-0.3087502209</v>
      </c>
      <c r="N679" s="16">
        <v>269.49</v>
      </c>
    </row>
    <row r="680" ht="15.75" customHeight="1">
      <c r="A680" s="9" t="s">
        <v>728</v>
      </c>
      <c r="B680" s="10" t="s">
        <v>56</v>
      </c>
      <c r="C680" s="11">
        <v>46089.0</v>
      </c>
      <c r="D680" s="11">
        <v>46109.0</v>
      </c>
      <c r="E680" s="10" t="s">
        <v>26</v>
      </c>
      <c r="F680" s="12">
        <v>16834.0</v>
      </c>
      <c r="G680" s="13">
        <v>1474.0</v>
      </c>
      <c r="H680" s="13">
        <v>33.0</v>
      </c>
      <c r="I680" s="14">
        <v>1026.28</v>
      </c>
      <c r="J680" s="13">
        <v>55772.0</v>
      </c>
      <c r="K680" s="13">
        <v>669264.0</v>
      </c>
      <c r="L680" s="10" t="s">
        <v>17</v>
      </c>
      <c r="M680" s="15">
        <f t="shared" si="1"/>
        <v>-0.9390352857</v>
      </c>
      <c r="N680" s="16">
        <v>510.12</v>
      </c>
    </row>
    <row r="681" ht="15.75" customHeight="1">
      <c r="A681" s="9" t="s">
        <v>729</v>
      </c>
      <c r="B681" s="10" t="s">
        <v>15</v>
      </c>
      <c r="C681" s="11">
        <v>46110.0</v>
      </c>
      <c r="D681" s="11">
        <v>46117.0</v>
      </c>
      <c r="E681" s="10" t="s">
        <v>35</v>
      </c>
      <c r="F681" s="12">
        <v>4522.0</v>
      </c>
      <c r="G681" s="13">
        <v>404.0</v>
      </c>
      <c r="H681" s="13">
        <v>68.0</v>
      </c>
      <c r="I681" s="14">
        <v>10597.46</v>
      </c>
      <c r="J681" s="13">
        <v>12043.0</v>
      </c>
      <c r="K681" s="13">
        <v>144516.0</v>
      </c>
      <c r="L681" s="10" t="s">
        <v>17</v>
      </c>
      <c r="M681" s="15">
        <f t="shared" si="1"/>
        <v>1.343533835</v>
      </c>
      <c r="N681" s="16">
        <v>66.5</v>
      </c>
    </row>
    <row r="682" ht="15.75" customHeight="1">
      <c r="A682" s="9" t="s">
        <v>730</v>
      </c>
      <c r="B682" s="10" t="s">
        <v>19</v>
      </c>
      <c r="C682" s="11">
        <v>45893.0</v>
      </c>
      <c r="D682" s="11">
        <v>45911.0</v>
      </c>
      <c r="E682" s="10" t="s">
        <v>26</v>
      </c>
      <c r="F682" s="12">
        <v>11767.0</v>
      </c>
      <c r="G682" s="13">
        <v>608.0</v>
      </c>
      <c r="H682" s="13">
        <v>609.0</v>
      </c>
      <c r="I682" s="14">
        <v>4826.22</v>
      </c>
      <c r="J682" s="13">
        <v>26349.0</v>
      </c>
      <c r="K682" s="13">
        <v>632376.0</v>
      </c>
      <c r="L682" s="10" t="s">
        <v>17</v>
      </c>
      <c r="M682" s="15">
        <f t="shared" si="1"/>
        <v>-0.589851279</v>
      </c>
      <c r="N682" s="16">
        <v>19.32</v>
      </c>
    </row>
    <row r="683" ht="15.75" customHeight="1">
      <c r="A683" s="9" t="s">
        <v>731</v>
      </c>
      <c r="B683" s="10" t="s">
        <v>47</v>
      </c>
      <c r="C683" s="11">
        <v>46013.0</v>
      </c>
      <c r="D683" s="11">
        <v>46016.0</v>
      </c>
      <c r="E683" s="10" t="s">
        <v>16</v>
      </c>
      <c r="F683" s="12">
        <v>38524.0</v>
      </c>
      <c r="G683" s="13">
        <v>4327.0</v>
      </c>
      <c r="H683" s="13">
        <v>325.0</v>
      </c>
      <c r="I683" s="14">
        <v>54232.6</v>
      </c>
      <c r="J683" s="13">
        <v>63313.0</v>
      </c>
      <c r="K683" s="13">
        <v>1709451.0</v>
      </c>
      <c r="L683" s="10" t="s">
        <v>17</v>
      </c>
      <c r="M683" s="15">
        <f t="shared" si="1"/>
        <v>0.4077613955</v>
      </c>
      <c r="N683" s="16">
        <v>118.54</v>
      </c>
    </row>
    <row r="684" ht="15.75" customHeight="1">
      <c r="A684" s="9" t="s">
        <v>732</v>
      </c>
      <c r="B684" s="10" t="s">
        <v>38</v>
      </c>
      <c r="C684" s="11">
        <v>45964.0</v>
      </c>
      <c r="D684" s="11">
        <v>45987.0</v>
      </c>
      <c r="E684" s="10" t="s">
        <v>26</v>
      </c>
      <c r="F684" s="12">
        <v>4000.0</v>
      </c>
      <c r="G684" s="13">
        <v>247.0</v>
      </c>
      <c r="H684" s="13">
        <v>17.0</v>
      </c>
      <c r="I684" s="14">
        <v>2366.91</v>
      </c>
      <c r="J684" s="13">
        <v>7780.0</v>
      </c>
      <c r="K684" s="13">
        <v>93360.0</v>
      </c>
      <c r="L684" s="10" t="s">
        <v>17</v>
      </c>
      <c r="M684" s="15">
        <f t="shared" si="1"/>
        <v>-0.4082725</v>
      </c>
      <c r="N684" s="16">
        <v>235.29</v>
      </c>
    </row>
    <row r="685" ht="15.75" customHeight="1">
      <c r="A685" s="9" t="s">
        <v>733</v>
      </c>
      <c r="B685" s="10" t="s">
        <v>52</v>
      </c>
      <c r="C685" s="11">
        <v>45876.0</v>
      </c>
      <c r="D685" s="11">
        <v>45885.0</v>
      </c>
      <c r="E685" s="10" t="s">
        <v>16</v>
      </c>
      <c r="F685" s="12">
        <v>51627.0</v>
      </c>
      <c r="G685" s="13">
        <v>3331.0</v>
      </c>
      <c r="H685" s="13">
        <v>595.0</v>
      </c>
      <c r="I685" s="14">
        <v>94530.6</v>
      </c>
      <c r="J685" s="13">
        <v>49235.0</v>
      </c>
      <c r="K685" s="13">
        <v>787760.0</v>
      </c>
      <c r="L685" s="10" t="s">
        <v>17</v>
      </c>
      <c r="M685" s="15">
        <f t="shared" si="1"/>
        <v>0.8310302749</v>
      </c>
      <c r="N685" s="16">
        <v>86.77</v>
      </c>
    </row>
    <row r="686" ht="15.75" customHeight="1">
      <c r="A686" s="9" t="s">
        <v>734</v>
      </c>
      <c r="B686" s="10" t="s">
        <v>15</v>
      </c>
      <c r="C686" s="11">
        <v>45960.0</v>
      </c>
      <c r="D686" s="11">
        <v>46002.0</v>
      </c>
      <c r="E686" s="10" t="s">
        <v>26</v>
      </c>
      <c r="F686" s="12">
        <v>6392.0</v>
      </c>
      <c r="G686" s="13">
        <v>470.0</v>
      </c>
      <c r="H686" s="13">
        <v>12.0</v>
      </c>
      <c r="I686" s="14">
        <v>2384.12</v>
      </c>
      <c r="J686" s="13">
        <v>14198.0</v>
      </c>
      <c r="K686" s="13">
        <v>425940.0</v>
      </c>
      <c r="L686" s="10" t="s">
        <v>17</v>
      </c>
      <c r="M686" s="15">
        <f t="shared" si="1"/>
        <v>-0.6270150188</v>
      </c>
      <c r="N686" s="16">
        <v>532.67</v>
      </c>
    </row>
    <row r="687" ht="15.75" customHeight="1">
      <c r="A687" s="9" t="s">
        <v>735</v>
      </c>
      <c r="B687" s="10" t="s">
        <v>15</v>
      </c>
      <c r="C687" s="11">
        <v>46008.0</v>
      </c>
      <c r="D687" s="11">
        <v>46017.0</v>
      </c>
      <c r="E687" s="10" t="s">
        <v>35</v>
      </c>
      <c r="F687" s="12">
        <v>1526.0</v>
      </c>
      <c r="G687" s="13">
        <v>115.0</v>
      </c>
      <c r="H687" s="13">
        <v>23.0</v>
      </c>
      <c r="I687" s="14">
        <v>1148.12</v>
      </c>
      <c r="J687" s="13">
        <v>6627.0</v>
      </c>
      <c r="K687" s="13">
        <v>72897.0</v>
      </c>
      <c r="L687" s="10" t="s">
        <v>17</v>
      </c>
      <c r="M687" s="15">
        <f t="shared" si="1"/>
        <v>-0.2476277851</v>
      </c>
      <c r="N687" s="16">
        <v>66.35</v>
      </c>
    </row>
    <row r="688" ht="15.75" customHeight="1">
      <c r="A688" s="9" t="s">
        <v>736</v>
      </c>
      <c r="B688" s="10" t="s">
        <v>62</v>
      </c>
      <c r="C688" s="11">
        <v>45919.0</v>
      </c>
      <c r="D688" s="11">
        <v>45936.0</v>
      </c>
      <c r="E688" s="10" t="s">
        <v>26</v>
      </c>
      <c r="F688" s="12">
        <v>3981.0</v>
      </c>
      <c r="G688" s="13">
        <v>541.0</v>
      </c>
      <c r="H688" s="13">
        <v>34.0</v>
      </c>
      <c r="I688" s="14">
        <v>2361.04</v>
      </c>
      <c r="J688" s="13">
        <v>9535.0</v>
      </c>
      <c r="K688" s="13">
        <v>133490.0</v>
      </c>
      <c r="L688" s="10" t="s">
        <v>17</v>
      </c>
      <c r="M688" s="15">
        <f t="shared" si="1"/>
        <v>-0.4069228837</v>
      </c>
      <c r="N688" s="16">
        <v>117.09</v>
      </c>
    </row>
    <row r="689" ht="15.75" customHeight="1">
      <c r="A689" s="9" t="s">
        <v>737</v>
      </c>
      <c r="B689" s="10" t="s">
        <v>25</v>
      </c>
      <c r="C689" s="11">
        <v>46191.0</v>
      </c>
      <c r="D689" s="11">
        <v>46198.0</v>
      </c>
      <c r="E689" s="10" t="s">
        <v>16</v>
      </c>
      <c r="F689" s="12">
        <v>17424.0</v>
      </c>
      <c r="G689" s="13">
        <v>1743.0</v>
      </c>
      <c r="H689" s="13">
        <v>194.0</v>
      </c>
      <c r="I689" s="14">
        <v>28509.03</v>
      </c>
      <c r="J689" s="13">
        <v>34324.0</v>
      </c>
      <c r="K689" s="13">
        <v>411888.0</v>
      </c>
      <c r="L689" s="10" t="s">
        <v>17</v>
      </c>
      <c r="M689" s="15">
        <f t="shared" si="1"/>
        <v>0.6361931818</v>
      </c>
      <c r="N689" s="16">
        <v>89.81</v>
      </c>
    </row>
    <row r="690" ht="15.75" customHeight="1">
      <c r="A690" s="9" t="s">
        <v>738</v>
      </c>
      <c r="B690" s="10" t="s">
        <v>38</v>
      </c>
      <c r="C690" s="11">
        <v>46105.0</v>
      </c>
      <c r="D690" s="11">
        <v>46153.0</v>
      </c>
      <c r="E690" s="10" t="s">
        <v>26</v>
      </c>
      <c r="F690" s="12">
        <v>20686.0</v>
      </c>
      <c r="G690" s="13">
        <v>1123.0</v>
      </c>
      <c r="H690" s="13">
        <v>82.0</v>
      </c>
      <c r="I690" s="14">
        <v>13900.85</v>
      </c>
      <c r="J690" s="13">
        <v>33444.0</v>
      </c>
      <c r="K690" s="13">
        <v>902988.0</v>
      </c>
      <c r="L690" s="10" t="s">
        <v>17</v>
      </c>
      <c r="M690" s="15">
        <f t="shared" si="1"/>
        <v>-0.3280068645</v>
      </c>
      <c r="N690" s="16">
        <v>252.27</v>
      </c>
    </row>
    <row r="691" ht="15.75" customHeight="1">
      <c r="A691" s="9" t="s">
        <v>739</v>
      </c>
      <c r="B691" s="10" t="s">
        <v>15</v>
      </c>
      <c r="C691" s="11">
        <v>46066.0</v>
      </c>
      <c r="D691" s="11">
        <v>46086.0</v>
      </c>
      <c r="E691" s="10" t="s">
        <v>26</v>
      </c>
      <c r="F691" s="12">
        <v>12845.0</v>
      </c>
      <c r="G691" s="13">
        <v>816.0</v>
      </c>
      <c r="H691" s="13">
        <v>29.0</v>
      </c>
      <c r="I691" s="14">
        <v>4528.33</v>
      </c>
      <c r="J691" s="13">
        <v>29977.0</v>
      </c>
      <c r="K691" s="13">
        <v>779402.0</v>
      </c>
      <c r="L691" s="10" t="s">
        <v>17</v>
      </c>
      <c r="M691" s="15">
        <f t="shared" si="1"/>
        <v>-0.6474636045</v>
      </c>
      <c r="N691" s="16">
        <v>442.93</v>
      </c>
    </row>
    <row r="692" ht="15.75" customHeight="1">
      <c r="A692" s="9" t="s">
        <v>740</v>
      </c>
      <c r="B692" s="10" t="s">
        <v>15</v>
      </c>
      <c r="C692" s="11">
        <v>46112.0</v>
      </c>
      <c r="D692" s="11">
        <v>46169.0</v>
      </c>
      <c r="E692" s="10" t="s">
        <v>35</v>
      </c>
      <c r="F692" s="12">
        <v>1727.0</v>
      </c>
      <c r="G692" s="13">
        <v>119.0</v>
      </c>
      <c r="H692" s="13">
        <v>25.0</v>
      </c>
      <c r="I692" s="14">
        <v>1730.59</v>
      </c>
      <c r="J692" s="13">
        <v>5994.0</v>
      </c>
      <c r="K692" s="13">
        <v>53946.0</v>
      </c>
      <c r="L692" s="10" t="s">
        <v>17</v>
      </c>
      <c r="M692" s="15">
        <f t="shared" si="1"/>
        <v>0.002078749276</v>
      </c>
      <c r="N692" s="16">
        <v>69.08</v>
      </c>
    </row>
    <row r="693" ht="15.75" customHeight="1">
      <c r="A693" s="9" t="s">
        <v>741</v>
      </c>
      <c r="B693" s="10" t="s">
        <v>56</v>
      </c>
      <c r="C693" s="11">
        <v>45881.0</v>
      </c>
      <c r="D693" s="11">
        <v>45905.0</v>
      </c>
      <c r="E693" s="10" t="s">
        <v>16</v>
      </c>
      <c r="F693" s="12">
        <v>41411.0</v>
      </c>
      <c r="G693" s="13">
        <v>4446.0</v>
      </c>
      <c r="H693" s="13">
        <v>533.0</v>
      </c>
      <c r="I693" s="14">
        <v>34288.89</v>
      </c>
      <c r="J693" s="13">
        <v>54512.0</v>
      </c>
      <c r="K693" s="13">
        <v>817680.0</v>
      </c>
      <c r="L693" s="10" t="s">
        <v>17</v>
      </c>
      <c r="M693" s="15">
        <f t="shared" si="1"/>
        <v>-0.1719859458</v>
      </c>
      <c r="N693" s="16">
        <v>77.69</v>
      </c>
    </row>
    <row r="694" ht="15.75" customHeight="1">
      <c r="A694" s="9" t="s">
        <v>742</v>
      </c>
      <c r="B694" s="10" t="s">
        <v>62</v>
      </c>
      <c r="C694" s="11">
        <v>46163.0</v>
      </c>
      <c r="D694" s="11">
        <v>46200.0</v>
      </c>
      <c r="E694" s="10" t="s">
        <v>26</v>
      </c>
      <c r="F694" s="12">
        <v>5126.0</v>
      </c>
      <c r="G694" s="13">
        <v>772.0</v>
      </c>
      <c r="H694" s="13">
        <v>49.0</v>
      </c>
      <c r="I694" s="14">
        <v>3105.71</v>
      </c>
      <c r="J694" s="13">
        <v>10395.0</v>
      </c>
      <c r="K694" s="13">
        <v>83160.0</v>
      </c>
      <c r="L694" s="10" t="s">
        <v>17</v>
      </c>
      <c r="M694" s="15">
        <f t="shared" si="1"/>
        <v>-0.3941260242</v>
      </c>
      <c r="N694" s="16">
        <v>104.61</v>
      </c>
    </row>
    <row r="695" ht="15.75" customHeight="1">
      <c r="A695" s="9" t="s">
        <v>743</v>
      </c>
      <c r="B695" s="10" t="s">
        <v>56</v>
      </c>
      <c r="C695" s="11">
        <v>45988.0</v>
      </c>
      <c r="D695" s="11">
        <v>46007.0</v>
      </c>
      <c r="E695" s="10" t="s">
        <v>16</v>
      </c>
      <c r="F695" s="12">
        <v>17438.0</v>
      </c>
      <c r="G695" s="13">
        <v>1281.0</v>
      </c>
      <c r="H695" s="13">
        <v>78.0</v>
      </c>
      <c r="I695" s="14">
        <v>11398.35</v>
      </c>
      <c r="J695" s="13">
        <v>13283.0</v>
      </c>
      <c r="K695" s="13">
        <v>225811.0</v>
      </c>
      <c r="L695" s="10" t="s">
        <v>17</v>
      </c>
      <c r="M695" s="15">
        <f t="shared" si="1"/>
        <v>-0.3463499255</v>
      </c>
      <c r="N695" s="16">
        <v>223.56</v>
      </c>
    </row>
    <row r="696" ht="15.75" customHeight="1">
      <c r="A696" s="9" t="s">
        <v>744</v>
      </c>
      <c r="B696" s="10" t="s">
        <v>25</v>
      </c>
      <c r="C696" s="11">
        <v>46061.0</v>
      </c>
      <c r="D696" s="11">
        <v>46093.0</v>
      </c>
      <c r="E696" s="10" t="s">
        <v>26</v>
      </c>
      <c r="F696" s="12">
        <v>3360.0</v>
      </c>
      <c r="G696" s="13">
        <v>230.0</v>
      </c>
      <c r="H696" s="13">
        <v>5.0</v>
      </c>
      <c r="I696" s="14">
        <v>968.56</v>
      </c>
      <c r="J696" s="13">
        <v>10203.0</v>
      </c>
      <c r="K696" s="13">
        <v>122436.0</v>
      </c>
      <c r="L696" s="10" t="s">
        <v>17</v>
      </c>
      <c r="M696" s="15">
        <f t="shared" si="1"/>
        <v>-0.7117380952</v>
      </c>
      <c r="N696" s="16">
        <v>672.0</v>
      </c>
    </row>
    <row r="697" ht="15.75" customHeight="1">
      <c r="A697" s="9" t="s">
        <v>745</v>
      </c>
      <c r="B697" s="10" t="s">
        <v>19</v>
      </c>
      <c r="C697" s="11">
        <v>46155.0</v>
      </c>
      <c r="D697" s="11">
        <v>46180.0</v>
      </c>
      <c r="E697" s="10" t="s">
        <v>16</v>
      </c>
      <c r="F697" s="12">
        <v>58545.0</v>
      </c>
      <c r="G697" s="13">
        <v>3557.0</v>
      </c>
      <c r="H697" s="13">
        <v>639.0</v>
      </c>
      <c r="I697" s="14">
        <v>149517.46</v>
      </c>
      <c r="J697" s="13">
        <v>46012.0</v>
      </c>
      <c r="K697" s="13">
        <v>506132.0</v>
      </c>
      <c r="L697" s="10" t="s">
        <v>17</v>
      </c>
      <c r="M697" s="15">
        <f t="shared" si="1"/>
        <v>1.553889487</v>
      </c>
      <c r="N697" s="16">
        <v>91.62</v>
      </c>
    </row>
    <row r="698" ht="15.75" customHeight="1">
      <c r="A698" s="9" t="s">
        <v>746</v>
      </c>
      <c r="B698" s="10" t="s">
        <v>38</v>
      </c>
      <c r="C698" s="11">
        <v>45871.0</v>
      </c>
      <c r="D698" s="11">
        <v>45899.0</v>
      </c>
      <c r="E698" s="10" t="s">
        <v>16</v>
      </c>
      <c r="F698" s="12">
        <v>24550.0</v>
      </c>
      <c r="G698" s="13">
        <v>3919.0</v>
      </c>
      <c r="H698" s="13">
        <v>319.0</v>
      </c>
      <c r="I698" s="14">
        <v>39074.06</v>
      </c>
      <c r="J698" s="13">
        <v>20929.0</v>
      </c>
      <c r="K698" s="13">
        <v>355793.0</v>
      </c>
      <c r="L698" s="10" t="s">
        <v>17</v>
      </c>
      <c r="M698" s="15">
        <f t="shared" si="1"/>
        <v>0.5916114053</v>
      </c>
      <c r="N698" s="16">
        <v>76.96</v>
      </c>
    </row>
    <row r="699" ht="15.75" customHeight="1">
      <c r="A699" s="9" t="s">
        <v>747</v>
      </c>
      <c r="B699" s="10" t="s">
        <v>28</v>
      </c>
      <c r="C699" s="11">
        <v>45905.0</v>
      </c>
      <c r="D699" s="11">
        <v>45931.0</v>
      </c>
      <c r="E699" s="10" t="s">
        <v>35</v>
      </c>
      <c r="F699" s="12">
        <v>4329.0</v>
      </c>
      <c r="G699" s="13">
        <v>263.0</v>
      </c>
      <c r="H699" s="13">
        <v>37.0</v>
      </c>
      <c r="I699" s="14">
        <v>2517.7</v>
      </c>
      <c r="J699" s="13">
        <v>16756.0</v>
      </c>
      <c r="K699" s="13">
        <v>318364.0</v>
      </c>
      <c r="L699" s="10" t="s">
        <v>17</v>
      </c>
      <c r="M699" s="15">
        <f t="shared" si="1"/>
        <v>-0.4184107184</v>
      </c>
      <c r="N699" s="16">
        <v>117.0</v>
      </c>
    </row>
    <row r="700" ht="15.75" customHeight="1">
      <c r="A700" s="9" t="s">
        <v>748</v>
      </c>
      <c r="B700" s="10" t="s">
        <v>19</v>
      </c>
      <c r="C700" s="11">
        <v>45956.0</v>
      </c>
      <c r="D700" s="11">
        <v>46005.0</v>
      </c>
      <c r="E700" s="10" t="s">
        <v>26</v>
      </c>
      <c r="F700" s="12">
        <v>24643.0</v>
      </c>
      <c r="G700" s="13">
        <v>3524.0</v>
      </c>
      <c r="H700" s="13">
        <v>148.0</v>
      </c>
      <c r="I700" s="14">
        <v>13151.05</v>
      </c>
      <c r="J700" s="13">
        <v>39360.0</v>
      </c>
      <c r="K700" s="13">
        <v>629760.0</v>
      </c>
      <c r="L700" s="10" t="s">
        <v>17</v>
      </c>
      <c r="M700" s="15">
        <f t="shared" si="1"/>
        <v>-0.4663372966</v>
      </c>
      <c r="N700" s="16">
        <v>166.51</v>
      </c>
    </row>
    <row r="701" ht="15.75" customHeight="1">
      <c r="A701" s="9" t="s">
        <v>749</v>
      </c>
      <c r="B701" s="10" t="s">
        <v>62</v>
      </c>
      <c r="C701" s="11">
        <v>45850.0</v>
      </c>
      <c r="D701" s="11">
        <v>45902.0</v>
      </c>
      <c r="E701" s="10" t="s">
        <v>16</v>
      </c>
      <c r="F701" s="12">
        <v>21802.0</v>
      </c>
      <c r="G701" s="13">
        <v>1690.0</v>
      </c>
      <c r="H701" s="13">
        <v>245.0</v>
      </c>
      <c r="I701" s="14">
        <v>29823.48</v>
      </c>
      <c r="J701" s="13">
        <v>25106.0</v>
      </c>
      <c r="K701" s="13">
        <v>753180.0</v>
      </c>
      <c r="L701" s="10" t="s">
        <v>17</v>
      </c>
      <c r="M701" s="15">
        <f t="shared" si="1"/>
        <v>0.3679240437</v>
      </c>
      <c r="N701" s="16">
        <v>88.99</v>
      </c>
    </row>
    <row r="702" ht="15.75" customHeight="1">
      <c r="A702" s="9" t="s">
        <v>750</v>
      </c>
      <c r="B702" s="10" t="s">
        <v>58</v>
      </c>
      <c r="C702" s="11">
        <v>45988.0</v>
      </c>
      <c r="D702" s="11">
        <v>46006.0</v>
      </c>
      <c r="E702" s="10" t="s">
        <v>16</v>
      </c>
      <c r="F702" s="12">
        <v>20411.0</v>
      </c>
      <c r="G702" s="13">
        <v>1256.0</v>
      </c>
      <c r="H702" s="13">
        <v>212.0</v>
      </c>
      <c r="I702" s="14">
        <v>25222.46</v>
      </c>
      <c r="J702" s="13">
        <v>28790.0</v>
      </c>
      <c r="K702" s="13">
        <v>431850.0</v>
      </c>
      <c r="L702" s="10" t="s">
        <v>17</v>
      </c>
      <c r="M702" s="15">
        <f t="shared" si="1"/>
        <v>0.2357287737</v>
      </c>
      <c r="N702" s="16">
        <v>96.28</v>
      </c>
    </row>
    <row r="703" ht="15.75" customHeight="1">
      <c r="A703" s="9" t="s">
        <v>751</v>
      </c>
      <c r="B703" s="10" t="s">
        <v>28</v>
      </c>
      <c r="C703" s="11">
        <v>46108.0</v>
      </c>
      <c r="D703" s="11">
        <v>46140.0</v>
      </c>
      <c r="E703" s="10" t="s">
        <v>16</v>
      </c>
      <c r="F703" s="12">
        <v>54267.0</v>
      </c>
      <c r="G703" s="13">
        <v>11368.0</v>
      </c>
      <c r="H703" s="13">
        <v>1866.0</v>
      </c>
      <c r="I703" s="14">
        <v>373709.25</v>
      </c>
      <c r="J703" s="13">
        <v>86997.0</v>
      </c>
      <c r="K703" s="13">
        <v>2435916.0</v>
      </c>
      <c r="L703" s="10" t="s">
        <v>17</v>
      </c>
      <c r="M703" s="15">
        <f t="shared" si="1"/>
        <v>5.886491791</v>
      </c>
      <c r="N703" s="16">
        <v>29.08</v>
      </c>
    </row>
    <row r="704" ht="15.75" customHeight="1">
      <c r="A704" s="9" t="s">
        <v>752</v>
      </c>
      <c r="B704" s="10" t="s">
        <v>28</v>
      </c>
      <c r="C704" s="11">
        <v>45881.0</v>
      </c>
      <c r="D704" s="11">
        <v>45932.0</v>
      </c>
      <c r="E704" s="10" t="s">
        <v>35</v>
      </c>
      <c r="F704" s="12">
        <v>4936.0</v>
      </c>
      <c r="G704" s="13">
        <v>248.0</v>
      </c>
      <c r="H704" s="13">
        <v>49.0</v>
      </c>
      <c r="I704" s="14">
        <v>3535.63</v>
      </c>
      <c r="J704" s="13">
        <v>10143.0</v>
      </c>
      <c r="K704" s="13">
        <v>81144.0</v>
      </c>
      <c r="L704" s="10" t="s">
        <v>17</v>
      </c>
      <c r="M704" s="15">
        <f t="shared" si="1"/>
        <v>-0.2837054295</v>
      </c>
      <c r="N704" s="16">
        <v>100.73</v>
      </c>
    </row>
    <row r="705" ht="15.75" customHeight="1">
      <c r="A705" s="9" t="s">
        <v>753</v>
      </c>
      <c r="B705" s="10" t="s">
        <v>38</v>
      </c>
      <c r="C705" s="11">
        <v>46010.0</v>
      </c>
      <c r="D705" s="11">
        <v>46062.0</v>
      </c>
      <c r="E705" s="10" t="s">
        <v>16</v>
      </c>
      <c r="F705" s="12">
        <v>34198.0</v>
      </c>
      <c r="G705" s="13">
        <v>2522.0</v>
      </c>
      <c r="H705" s="13">
        <v>162.0</v>
      </c>
      <c r="I705" s="14">
        <v>21143.42</v>
      </c>
      <c r="J705" s="13">
        <v>54463.0</v>
      </c>
      <c r="K705" s="13">
        <v>925871.0</v>
      </c>
      <c r="L705" s="10" t="s">
        <v>17</v>
      </c>
      <c r="M705" s="15">
        <f t="shared" si="1"/>
        <v>-0.3817351892</v>
      </c>
      <c r="N705" s="16">
        <v>211.1</v>
      </c>
    </row>
    <row r="706" ht="15.75" customHeight="1">
      <c r="A706" s="9" t="s">
        <v>754</v>
      </c>
      <c r="B706" s="10" t="s">
        <v>75</v>
      </c>
      <c r="C706" s="11">
        <v>45954.0</v>
      </c>
      <c r="D706" s="11">
        <v>45971.0</v>
      </c>
      <c r="E706" s="10" t="s">
        <v>16</v>
      </c>
      <c r="F706" s="12">
        <v>33017.0</v>
      </c>
      <c r="G706" s="13">
        <v>7466.0</v>
      </c>
      <c r="H706" s="13">
        <v>887.0</v>
      </c>
      <c r="I706" s="14">
        <v>72306.1</v>
      </c>
      <c r="J706" s="13">
        <v>39168.0</v>
      </c>
      <c r="K706" s="13">
        <v>1057536.0</v>
      </c>
      <c r="L706" s="10" t="s">
        <v>17</v>
      </c>
      <c r="M706" s="15">
        <f t="shared" si="1"/>
        <v>1.189965775</v>
      </c>
      <c r="N706" s="16">
        <v>37.22</v>
      </c>
    </row>
    <row r="707" ht="15.75" customHeight="1">
      <c r="A707" s="9" t="s">
        <v>755</v>
      </c>
      <c r="B707" s="10" t="s">
        <v>58</v>
      </c>
      <c r="C707" s="11">
        <v>45878.0</v>
      </c>
      <c r="D707" s="11">
        <v>45886.0</v>
      </c>
      <c r="E707" s="10" t="s">
        <v>26</v>
      </c>
      <c r="F707" s="12">
        <v>10860.0</v>
      </c>
      <c r="G707" s="13">
        <v>612.0</v>
      </c>
      <c r="H707" s="13">
        <v>46.0</v>
      </c>
      <c r="I707" s="14">
        <v>4541.52</v>
      </c>
      <c r="J707" s="13">
        <v>15141.0</v>
      </c>
      <c r="K707" s="13">
        <v>272538.0</v>
      </c>
      <c r="L707" s="10" t="s">
        <v>17</v>
      </c>
      <c r="M707" s="15">
        <f t="shared" si="1"/>
        <v>-0.5818121547</v>
      </c>
      <c r="N707" s="16">
        <v>236.09</v>
      </c>
    </row>
    <row r="708" ht="15.75" customHeight="1">
      <c r="A708" s="9" t="s">
        <v>756</v>
      </c>
      <c r="B708" s="10" t="s">
        <v>28</v>
      </c>
      <c r="C708" s="11">
        <v>46194.0</v>
      </c>
      <c r="D708" s="11">
        <v>46203.0</v>
      </c>
      <c r="E708" s="10" t="s">
        <v>26</v>
      </c>
      <c r="F708" s="12">
        <v>6317.0</v>
      </c>
      <c r="G708" s="13">
        <v>360.0</v>
      </c>
      <c r="H708" s="13">
        <v>23.0</v>
      </c>
      <c r="I708" s="14">
        <v>5440.05</v>
      </c>
      <c r="J708" s="13">
        <v>11363.0</v>
      </c>
      <c r="K708" s="13">
        <v>227260.0</v>
      </c>
      <c r="L708" s="10" t="s">
        <v>17</v>
      </c>
      <c r="M708" s="15">
        <f t="shared" si="1"/>
        <v>-0.1388238088</v>
      </c>
      <c r="N708" s="16">
        <v>274.65</v>
      </c>
    </row>
    <row r="709" ht="15.75" customHeight="1">
      <c r="A709" s="9" t="s">
        <v>757</v>
      </c>
      <c r="B709" s="10" t="s">
        <v>56</v>
      </c>
      <c r="C709" s="11">
        <v>46189.0</v>
      </c>
      <c r="D709" s="11">
        <v>46221.0</v>
      </c>
      <c r="E709" s="10" t="s">
        <v>26</v>
      </c>
      <c r="F709" s="12">
        <v>4881.0</v>
      </c>
      <c r="G709" s="13">
        <v>871.0</v>
      </c>
      <c r="H709" s="13">
        <v>34.0</v>
      </c>
      <c r="I709" s="14">
        <v>2428.05</v>
      </c>
      <c r="J709" s="13">
        <v>6533.0</v>
      </c>
      <c r="K709" s="13">
        <v>84929.0</v>
      </c>
      <c r="L709" s="10" t="s">
        <v>17</v>
      </c>
      <c r="M709" s="15">
        <f t="shared" si="1"/>
        <v>-0.5025507068</v>
      </c>
      <c r="N709" s="16">
        <v>143.56</v>
      </c>
    </row>
    <row r="710" ht="15.75" customHeight="1">
      <c r="A710" s="9" t="s">
        <v>758</v>
      </c>
      <c r="B710" s="10" t="s">
        <v>62</v>
      </c>
      <c r="C710" s="11">
        <v>46126.0</v>
      </c>
      <c r="D710" s="11">
        <v>46170.0</v>
      </c>
      <c r="E710" s="10" t="s">
        <v>16</v>
      </c>
      <c r="F710" s="12">
        <v>16345.0</v>
      </c>
      <c r="G710" s="13">
        <v>944.0</v>
      </c>
      <c r="H710" s="13">
        <v>123.0</v>
      </c>
      <c r="I710" s="14">
        <v>13588.01</v>
      </c>
      <c r="J710" s="13">
        <v>11014.0</v>
      </c>
      <c r="K710" s="13">
        <v>242308.0</v>
      </c>
      <c r="L710" s="10" t="s">
        <v>17</v>
      </c>
      <c r="M710" s="15">
        <f t="shared" si="1"/>
        <v>-0.1686748241</v>
      </c>
      <c r="N710" s="16">
        <v>132.89</v>
      </c>
    </row>
    <row r="711" ht="15.75" customHeight="1">
      <c r="A711" s="9" t="s">
        <v>759</v>
      </c>
      <c r="B711" s="10" t="s">
        <v>75</v>
      </c>
      <c r="C711" s="11">
        <v>46159.0</v>
      </c>
      <c r="D711" s="11">
        <v>46188.0</v>
      </c>
      <c r="E711" s="10" t="s">
        <v>16</v>
      </c>
      <c r="F711" s="12">
        <v>57241.0</v>
      </c>
      <c r="G711" s="13">
        <v>3195.0</v>
      </c>
      <c r="H711" s="13">
        <v>419.0</v>
      </c>
      <c r="I711" s="14">
        <v>73841.19</v>
      </c>
      <c r="J711" s="13">
        <v>43759.0</v>
      </c>
      <c r="K711" s="13">
        <v>962698.0</v>
      </c>
      <c r="L711" s="10" t="s">
        <v>17</v>
      </c>
      <c r="M711" s="15">
        <f t="shared" si="1"/>
        <v>0.290005241</v>
      </c>
      <c r="N711" s="16">
        <v>136.61</v>
      </c>
    </row>
    <row r="712" ht="15.75" customHeight="1">
      <c r="A712" s="9" t="s">
        <v>760</v>
      </c>
      <c r="B712" s="10" t="s">
        <v>15</v>
      </c>
      <c r="C712" s="11">
        <v>46165.0</v>
      </c>
      <c r="D712" s="11">
        <v>46204.0</v>
      </c>
      <c r="E712" s="10" t="s">
        <v>16</v>
      </c>
      <c r="F712" s="12">
        <v>23266.0</v>
      </c>
      <c r="G712" s="13">
        <v>2671.0</v>
      </c>
      <c r="H712" s="13">
        <v>184.0</v>
      </c>
      <c r="I712" s="14">
        <v>37000.09</v>
      </c>
      <c r="J712" s="13">
        <v>21839.0</v>
      </c>
      <c r="K712" s="13">
        <v>305746.0</v>
      </c>
      <c r="L712" s="10" t="s">
        <v>17</v>
      </c>
      <c r="M712" s="15">
        <f t="shared" si="1"/>
        <v>0.5903073154</v>
      </c>
      <c r="N712" s="16">
        <v>126.45</v>
      </c>
    </row>
    <row r="713" ht="15.75" customHeight="1">
      <c r="A713" s="9" t="s">
        <v>761</v>
      </c>
      <c r="B713" s="10" t="s">
        <v>58</v>
      </c>
      <c r="C713" s="11">
        <v>45911.0</v>
      </c>
      <c r="D713" s="11">
        <v>45963.0</v>
      </c>
      <c r="E713" s="10" t="s">
        <v>26</v>
      </c>
      <c r="F713" s="12">
        <v>16586.0</v>
      </c>
      <c r="G713" s="13">
        <v>872.0</v>
      </c>
      <c r="H713" s="13">
        <v>38.0</v>
      </c>
      <c r="I713" s="14">
        <v>4735.99</v>
      </c>
      <c r="J713" s="13">
        <v>26082.0</v>
      </c>
      <c r="K713" s="13">
        <v>547722.0</v>
      </c>
      <c r="L713" s="10" t="s">
        <v>17</v>
      </c>
      <c r="M713" s="15">
        <f t="shared" si="1"/>
        <v>-0.7144585795</v>
      </c>
      <c r="N713" s="16">
        <v>436.47</v>
      </c>
    </row>
    <row r="714" ht="15.75" customHeight="1">
      <c r="A714" s="9" t="s">
        <v>762</v>
      </c>
      <c r="B714" s="10" t="s">
        <v>75</v>
      </c>
      <c r="C714" s="11">
        <v>46126.0</v>
      </c>
      <c r="D714" s="11">
        <v>46175.0</v>
      </c>
      <c r="E714" s="10" t="s">
        <v>26</v>
      </c>
      <c r="F714" s="12">
        <v>9974.0</v>
      </c>
      <c r="G714" s="13">
        <v>677.0</v>
      </c>
      <c r="H714" s="13">
        <v>34.0</v>
      </c>
      <c r="I714" s="14">
        <v>4951.39</v>
      </c>
      <c r="J714" s="13">
        <v>23075.0</v>
      </c>
      <c r="K714" s="13">
        <v>184600.0</v>
      </c>
      <c r="L714" s="10" t="s">
        <v>17</v>
      </c>
      <c r="M714" s="15">
        <f t="shared" si="1"/>
        <v>-0.5035702827</v>
      </c>
      <c r="N714" s="16">
        <v>293.35</v>
      </c>
    </row>
    <row r="715" ht="15.75" customHeight="1">
      <c r="A715" s="9" t="s">
        <v>763</v>
      </c>
      <c r="B715" s="10" t="s">
        <v>75</v>
      </c>
      <c r="C715" s="11">
        <v>45975.0</v>
      </c>
      <c r="D715" s="11">
        <v>45983.0</v>
      </c>
      <c r="E715" s="10" t="s">
        <v>16</v>
      </c>
      <c r="F715" s="12">
        <v>58354.0</v>
      </c>
      <c r="G715" s="13">
        <v>6132.0</v>
      </c>
      <c r="H715" s="13">
        <v>745.0</v>
      </c>
      <c r="I715" s="14">
        <v>130664.36</v>
      </c>
      <c r="J715" s="13">
        <v>54388.0</v>
      </c>
      <c r="K715" s="13">
        <v>1577252.0</v>
      </c>
      <c r="L715" s="10" t="s">
        <v>17</v>
      </c>
      <c r="M715" s="15">
        <f t="shared" si="1"/>
        <v>1.239167152</v>
      </c>
      <c r="N715" s="16">
        <v>78.33</v>
      </c>
    </row>
    <row r="716" ht="15.75" customHeight="1">
      <c r="A716" s="9" t="s">
        <v>764</v>
      </c>
      <c r="B716" s="10" t="s">
        <v>19</v>
      </c>
      <c r="C716" s="11">
        <v>45900.0</v>
      </c>
      <c r="D716" s="11">
        <v>45919.0</v>
      </c>
      <c r="E716" s="10" t="s">
        <v>16</v>
      </c>
      <c r="F716" s="12">
        <v>19585.0</v>
      </c>
      <c r="G716" s="13">
        <v>3068.0</v>
      </c>
      <c r="H716" s="13">
        <v>463.0</v>
      </c>
      <c r="I716" s="14">
        <v>74397.62</v>
      </c>
      <c r="J716" s="13">
        <v>21793.0</v>
      </c>
      <c r="K716" s="13">
        <v>283309.0</v>
      </c>
      <c r="L716" s="10" t="s">
        <v>17</v>
      </c>
      <c r="M716" s="15">
        <f t="shared" si="1"/>
        <v>2.79870411</v>
      </c>
      <c r="N716" s="16">
        <v>42.3</v>
      </c>
    </row>
    <row r="717" ht="15.75" customHeight="1">
      <c r="A717" s="9" t="s">
        <v>765</v>
      </c>
      <c r="B717" s="10" t="s">
        <v>47</v>
      </c>
      <c r="C717" s="11">
        <v>46039.0</v>
      </c>
      <c r="D717" s="11">
        <v>46098.0</v>
      </c>
      <c r="E717" s="10" t="s">
        <v>16</v>
      </c>
      <c r="F717" s="12">
        <v>32512.0</v>
      </c>
      <c r="G717" s="13">
        <v>1875.0</v>
      </c>
      <c r="H717" s="13">
        <v>109.0</v>
      </c>
      <c r="I717" s="14">
        <v>11111.38</v>
      </c>
      <c r="J717" s="13">
        <v>58564.0</v>
      </c>
      <c r="K717" s="13">
        <v>468512.0</v>
      </c>
      <c r="L717" s="10" t="s">
        <v>17</v>
      </c>
      <c r="M717" s="15">
        <f t="shared" si="1"/>
        <v>-0.6582375738</v>
      </c>
      <c r="N717" s="16">
        <v>298.28</v>
      </c>
    </row>
    <row r="718" ht="15.75" customHeight="1">
      <c r="A718" s="9" t="s">
        <v>766</v>
      </c>
      <c r="B718" s="10" t="s">
        <v>15</v>
      </c>
      <c r="C718" s="11">
        <v>45880.0</v>
      </c>
      <c r="D718" s="11">
        <v>45901.0</v>
      </c>
      <c r="E718" s="10" t="s">
        <v>16</v>
      </c>
      <c r="F718" s="12">
        <v>48278.0</v>
      </c>
      <c r="G718" s="13">
        <v>5280.0</v>
      </c>
      <c r="H718" s="13">
        <v>680.0</v>
      </c>
      <c r="I718" s="14">
        <v>92200.14</v>
      </c>
      <c r="J718" s="13">
        <v>35555.0</v>
      </c>
      <c r="K718" s="13">
        <v>995540.0</v>
      </c>
      <c r="L718" s="10" t="s">
        <v>17</v>
      </c>
      <c r="M718" s="15">
        <f t="shared" si="1"/>
        <v>0.9097754671</v>
      </c>
      <c r="N718" s="16">
        <v>71.0</v>
      </c>
    </row>
    <row r="719" ht="15.75" customHeight="1">
      <c r="A719" s="9" t="s">
        <v>767</v>
      </c>
      <c r="B719" s="10" t="s">
        <v>52</v>
      </c>
      <c r="C719" s="11">
        <v>45977.0</v>
      </c>
      <c r="D719" s="11">
        <v>45981.0</v>
      </c>
      <c r="E719" s="10" t="s">
        <v>16</v>
      </c>
      <c r="F719" s="12">
        <v>39457.0</v>
      </c>
      <c r="G719" s="13">
        <v>3848.0</v>
      </c>
      <c r="H719" s="13">
        <v>412.0</v>
      </c>
      <c r="I719" s="14">
        <v>26609.12</v>
      </c>
      <c r="J719" s="13">
        <v>35908.0</v>
      </c>
      <c r="K719" s="13">
        <v>430896.0</v>
      </c>
      <c r="L719" s="10" t="s">
        <v>17</v>
      </c>
      <c r="M719" s="15">
        <f t="shared" si="1"/>
        <v>-0.3256172542</v>
      </c>
      <c r="N719" s="16">
        <v>95.77</v>
      </c>
    </row>
    <row r="720" ht="15.75" customHeight="1">
      <c r="A720" s="9" t="s">
        <v>768</v>
      </c>
      <c r="B720" s="10" t="s">
        <v>25</v>
      </c>
      <c r="C720" s="11">
        <v>46090.0</v>
      </c>
      <c r="D720" s="11">
        <v>46139.0</v>
      </c>
      <c r="E720" s="10" t="s">
        <v>35</v>
      </c>
      <c r="F720" s="12">
        <v>4684.0</v>
      </c>
      <c r="G720" s="13">
        <v>237.0</v>
      </c>
      <c r="H720" s="13">
        <v>67.0</v>
      </c>
      <c r="I720" s="14">
        <v>25872.71</v>
      </c>
      <c r="J720" s="13">
        <v>9901.0</v>
      </c>
      <c r="K720" s="13">
        <v>138614.0</v>
      </c>
      <c r="L720" s="10" t="s">
        <v>17</v>
      </c>
      <c r="M720" s="15">
        <f t="shared" si="1"/>
        <v>4.523635781</v>
      </c>
      <c r="N720" s="16">
        <v>69.91</v>
      </c>
    </row>
    <row r="721" ht="15.75" customHeight="1">
      <c r="A721" s="9" t="s">
        <v>769</v>
      </c>
      <c r="B721" s="10" t="s">
        <v>62</v>
      </c>
      <c r="C721" s="11">
        <v>45879.0</v>
      </c>
      <c r="D721" s="11">
        <v>45920.0</v>
      </c>
      <c r="E721" s="10" t="s">
        <v>35</v>
      </c>
      <c r="F721" s="12">
        <v>2138.0</v>
      </c>
      <c r="G721" s="13">
        <v>133.0</v>
      </c>
      <c r="H721" s="13">
        <v>13.0</v>
      </c>
      <c r="I721" s="14">
        <v>21154.59</v>
      </c>
      <c r="J721" s="13">
        <v>11287.0</v>
      </c>
      <c r="K721" s="13">
        <v>214453.0</v>
      </c>
      <c r="L721" s="10" t="s">
        <v>17</v>
      </c>
      <c r="M721" s="15">
        <f t="shared" si="1"/>
        <v>8.894569691</v>
      </c>
      <c r="N721" s="16">
        <v>164.46</v>
      </c>
    </row>
    <row r="722" ht="15.75" customHeight="1">
      <c r="A722" s="9" t="s">
        <v>770</v>
      </c>
      <c r="B722" s="10" t="s">
        <v>62</v>
      </c>
      <c r="C722" s="11">
        <v>45996.0</v>
      </c>
      <c r="D722" s="11">
        <v>46015.0</v>
      </c>
      <c r="E722" s="10" t="s">
        <v>16</v>
      </c>
      <c r="F722" s="12">
        <v>45833.0</v>
      </c>
      <c r="G722" s="13">
        <v>2570.0</v>
      </c>
      <c r="H722" s="13">
        <v>144.0</v>
      </c>
      <c r="I722" s="14">
        <v>13337.64</v>
      </c>
      <c r="J722" s="13">
        <v>31365.0</v>
      </c>
      <c r="K722" s="13">
        <v>501840.0</v>
      </c>
      <c r="L722" s="10" t="s">
        <v>17</v>
      </c>
      <c r="M722" s="15">
        <f t="shared" si="1"/>
        <v>-0.7089948291</v>
      </c>
      <c r="N722" s="16">
        <v>318.28</v>
      </c>
    </row>
    <row r="723" ht="15.75" customHeight="1">
      <c r="A723" s="9" t="s">
        <v>771</v>
      </c>
      <c r="B723" s="10" t="s">
        <v>19</v>
      </c>
      <c r="C723" s="11">
        <v>45891.0</v>
      </c>
      <c r="D723" s="11">
        <v>45919.0</v>
      </c>
      <c r="E723" s="10" t="s">
        <v>26</v>
      </c>
      <c r="F723" s="12">
        <v>17914.0</v>
      </c>
      <c r="G723" s="13">
        <v>969.0</v>
      </c>
      <c r="H723" s="13">
        <v>50.0</v>
      </c>
      <c r="I723" s="14">
        <v>8779.83</v>
      </c>
      <c r="J723" s="13">
        <v>20912.0</v>
      </c>
      <c r="K723" s="13">
        <v>585536.0</v>
      </c>
      <c r="L723" s="10" t="s">
        <v>17</v>
      </c>
      <c r="M723" s="15">
        <f t="shared" si="1"/>
        <v>-0.5098900301</v>
      </c>
      <c r="N723" s="16">
        <v>358.28</v>
      </c>
    </row>
    <row r="724" ht="15.75" customHeight="1">
      <c r="A724" s="9" t="s">
        <v>772</v>
      </c>
      <c r="B724" s="10" t="s">
        <v>15</v>
      </c>
      <c r="C724" s="11">
        <v>45891.0</v>
      </c>
      <c r="D724" s="11">
        <v>45934.0</v>
      </c>
      <c r="E724" s="10" t="s">
        <v>35</v>
      </c>
      <c r="F724" s="12">
        <v>2384.0</v>
      </c>
      <c r="G724" s="13">
        <v>222.0</v>
      </c>
      <c r="H724" s="13">
        <v>33.0</v>
      </c>
      <c r="I724" s="14">
        <v>4611.76</v>
      </c>
      <c r="J724" s="13">
        <v>5011.0</v>
      </c>
      <c r="K724" s="13">
        <v>105231.0</v>
      </c>
      <c r="L724" s="10" t="s">
        <v>17</v>
      </c>
      <c r="M724" s="15">
        <f t="shared" si="1"/>
        <v>0.9344630872</v>
      </c>
      <c r="N724" s="16">
        <v>72.24</v>
      </c>
    </row>
    <row r="725" ht="15.75" customHeight="1">
      <c r="A725" s="9" t="s">
        <v>773</v>
      </c>
      <c r="B725" s="10" t="s">
        <v>62</v>
      </c>
      <c r="C725" s="11">
        <v>46045.0</v>
      </c>
      <c r="D725" s="11">
        <v>46091.0</v>
      </c>
      <c r="E725" s="10" t="s">
        <v>16</v>
      </c>
      <c r="F725" s="12">
        <v>14798.0</v>
      </c>
      <c r="G725" s="13">
        <v>1417.0</v>
      </c>
      <c r="H725" s="13">
        <v>154.0</v>
      </c>
      <c r="I725" s="14">
        <v>29870.59</v>
      </c>
      <c r="J725" s="13">
        <v>12330.0</v>
      </c>
      <c r="K725" s="13">
        <v>234270.0</v>
      </c>
      <c r="L725" s="10" t="s">
        <v>17</v>
      </c>
      <c r="M725" s="15">
        <f t="shared" si="1"/>
        <v>1.018555886</v>
      </c>
      <c r="N725" s="16">
        <v>96.09</v>
      </c>
    </row>
    <row r="726" ht="15.75" customHeight="1">
      <c r="A726" s="9" t="s">
        <v>774</v>
      </c>
      <c r="B726" s="10" t="s">
        <v>25</v>
      </c>
      <c r="C726" s="11">
        <v>45931.0</v>
      </c>
      <c r="D726" s="11">
        <v>45948.0</v>
      </c>
      <c r="E726" s="10" t="s">
        <v>35</v>
      </c>
      <c r="F726" s="12">
        <v>3661.0</v>
      </c>
      <c r="G726" s="13">
        <v>184.0</v>
      </c>
      <c r="H726" s="13">
        <v>30.0</v>
      </c>
      <c r="I726" s="14">
        <v>2244.2</v>
      </c>
      <c r="J726" s="13">
        <v>17795.0</v>
      </c>
      <c r="K726" s="13">
        <v>355900.0</v>
      </c>
      <c r="L726" s="10" t="s">
        <v>17</v>
      </c>
      <c r="M726" s="15">
        <f t="shared" si="1"/>
        <v>-0.386998088</v>
      </c>
      <c r="N726" s="16">
        <v>122.03</v>
      </c>
    </row>
    <row r="727" ht="15.75" customHeight="1">
      <c r="A727" s="9" t="s">
        <v>775</v>
      </c>
      <c r="B727" s="10" t="s">
        <v>25</v>
      </c>
      <c r="C727" s="11">
        <v>46131.0</v>
      </c>
      <c r="D727" s="11">
        <v>46142.0</v>
      </c>
      <c r="E727" s="10" t="s">
        <v>26</v>
      </c>
      <c r="F727" s="12">
        <v>13227.0</v>
      </c>
      <c r="G727" s="13">
        <v>822.0</v>
      </c>
      <c r="H727" s="13">
        <v>44.0</v>
      </c>
      <c r="I727" s="14">
        <v>9511.95</v>
      </c>
      <c r="J727" s="13">
        <v>15007.0</v>
      </c>
      <c r="K727" s="13">
        <v>375175.0</v>
      </c>
      <c r="L727" s="10" t="s">
        <v>17</v>
      </c>
      <c r="M727" s="15">
        <f t="shared" si="1"/>
        <v>-0.2808686777</v>
      </c>
      <c r="N727" s="16">
        <v>300.61</v>
      </c>
    </row>
    <row r="728" ht="15.75" customHeight="1">
      <c r="A728" s="9" t="s">
        <v>776</v>
      </c>
      <c r="B728" s="10" t="s">
        <v>58</v>
      </c>
      <c r="C728" s="11">
        <v>45858.0</v>
      </c>
      <c r="D728" s="11">
        <v>45915.0</v>
      </c>
      <c r="E728" s="10" t="s">
        <v>26</v>
      </c>
      <c r="F728" s="12">
        <v>13342.0</v>
      </c>
      <c r="G728" s="13">
        <v>885.0</v>
      </c>
      <c r="H728" s="13">
        <v>60.0</v>
      </c>
      <c r="I728" s="14">
        <v>5733.85</v>
      </c>
      <c r="J728" s="13">
        <v>15320.0</v>
      </c>
      <c r="K728" s="13">
        <v>260440.0</v>
      </c>
      <c r="L728" s="10" t="s">
        <v>17</v>
      </c>
      <c r="M728" s="15">
        <f t="shared" si="1"/>
        <v>-0.5702405936</v>
      </c>
      <c r="N728" s="16">
        <v>222.37</v>
      </c>
    </row>
    <row r="729" ht="15.75" customHeight="1">
      <c r="A729" s="9" t="s">
        <v>777</v>
      </c>
      <c r="B729" s="10" t="s">
        <v>56</v>
      </c>
      <c r="C729" s="11">
        <v>46122.0</v>
      </c>
      <c r="D729" s="11">
        <v>46165.0</v>
      </c>
      <c r="E729" s="10" t="s">
        <v>16</v>
      </c>
      <c r="F729" s="12">
        <v>11326.0</v>
      </c>
      <c r="G729" s="13">
        <v>1008.0</v>
      </c>
      <c r="H729" s="13">
        <v>135.0</v>
      </c>
      <c r="I729" s="14">
        <v>18911.48</v>
      </c>
      <c r="J729" s="13">
        <v>14454.0</v>
      </c>
      <c r="K729" s="13">
        <v>274626.0</v>
      </c>
      <c r="L729" s="10" t="s">
        <v>17</v>
      </c>
      <c r="M729" s="15">
        <f t="shared" si="1"/>
        <v>0.6697404203</v>
      </c>
      <c r="N729" s="16">
        <v>83.9</v>
      </c>
    </row>
    <row r="730" ht="15.75" customHeight="1">
      <c r="A730" s="9" t="s">
        <v>778</v>
      </c>
      <c r="B730" s="10" t="s">
        <v>47</v>
      </c>
      <c r="C730" s="11">
        <v>45939.0</v>
      </c>
      <c r="D730" s="11">
        <v>45976.0</v>
      </c>
      <c r="E730" s="10" t="s">
        <v>26</v>
      </c>
      <c r="F730" s="12">
        <v>24019.0</v>
      </c>
      <c r="G730" s="13">
        <v>2138.0</v>
      </c>
      <c r="H730" s="13">
        <v>66.0</v>
      </c>
      <c r="I730" s="14">
        <v>26568.2</v>
      </c>
      <c r="J730" s="13">
        <v>27917.0</v>
      </c>
      <c r="K730" s="13">
        <v>753759.0</v>
      </c>
      <c r="L730" s="10" t="s">
        <v>17</v>
      </c>
      <c r="M730" s="15">
        <f t="shared" si="1"/>
        <v>0.106132645</v>
      </c>
      <c r="N730" s="16">
        <v>363.92</v>
      </c>
    </row>
    <row r="731" ht="15.75" customHeight="1">
      <c r="A731" s="9" t="s">
        <v>779</v>
      </c>
      <c r="B731" s="10" t="s">
        <v>62</v>
      </c>
      <c r="C731" s="11">
        <v>46062.0</v>
      </c>
      <c r="D731" s="11">
        <v>46097.0</v>
      </c>
      <c r="E731" s="10" t="s">
        <v>16</v>
      </c>
      <c r="F731" s="12">
        <v>39586.0</v>
      </c>
      <c r="G731" s="13">
        <v>2282.0</v>
      </c>
      <c r="H731" s="13">
        <v>327.0</v>
      </c>
      <c r="I731" s="14">
        <v>34323.24</v>
      </c>
      <c r="J731" s="13">
        <v>60536.0</v>
      </c>
      <c r="K731" s="13">
        <v>1755544.0</v>
      </c>
      <c r="L731" s="10" t="s">
        <v>17</v>
      </c>
      <c r="M731" s="15">
        <f t="shared" si="1"/>
        <v>-0.1329449805</v>
      </c>
      <c r="N731" s="16">
        <v>121.06</v>
      </c>
    </row>
    <row r="732" ht="15.75" customHeight="1">
      <c r="A732" s="9" t="s">
        <v>780</v>
      </c>
      <c r="B732" s="10" t="s">
        <v>47</v>
      </c>
      <c r="C732" s="11">
        <v>46014.0</v>
      </c>
      <c r="D732" s="11">
        <v>46071.0</v>
      </c>
      <c r="E732" s="10" t="s">
        <v>35</v>
      </c>
      <c r="F732" s="12">
        <v>3868.0</v>
      </c>
      <c r="G732" s="13">
        <v>312.0</v>
      </c>
      <c r="H732" s="13">
        <v>47.0</v>
      </c>
      <c r="I732" s="14">
        <v>15791.25</v>
      </c>
      <c r="J732" s="13">
        <v>18083.0</v>
      </c>
      <c r="K732" s="13">
        <v>271245.0</v>
      </c>
      <c r="L732" s="10" t="s">
        <v>17</v>
      </c>
      <c r="M732" s="15">
        <f t="shared" si="1"/>
        <v>3.082536194</v>
      </c>
      <c r="N732" s="16">
        <v>82.3</v>
      </c>
    </row>
    <row r="733" ht="15.75" customHeight="1">
      <c r="A733" s="9" t="s">
        <v>781</v>
      </c>
      <c r="B733" s="10" t="s">
        <v>56</v>
      </c>
      <c r="C733" s="11">
        <v>46039.0</v>
      </c>
      <c r="D733" s="11">
        <v>46095.0</v>
      </c>
      <c r="E733" s="10" t="s">
        <v>35</v>
      </c>
      <c r="F733" s="12">
        <v>2620.0</v>
      </c>
      <c r="G733" s="13">
        <v>135.0</v>
      </c>
      <c r="H733" s="13">
        <v>36.0</v>
      </c>
      <c r="I733" s="14">
        <v>8389.06</v>
      </c>
      <c r="J733" s="13">
        <v>12012.0</v>
      </c>
      <c r="K733" s="13">
        <v>216216.0</v>
      </c>
      <c r="L733" s="10" t="s">
        <v>17</v>
      </c>
      <c r="M733" s="15">
        <f t="shared" si="1"/>
        <v>2.201931298</v>
      </c>
      <c r="N733" s="16">
        <v>72.78</v>
      </c>
    </row>
    <row r="734" ht="15.75" customHeight="1">
      <c r="A734" s="9" t="s">
        <v>782</v>
      </c>
      <c r="B734" s="10" t="s">
        <v>28</v>
      </c>
      <c r="C734" s="11">
        <v>46014.0</v>
      </c>
      <c r="D734" s="11">
        <v>46041.0</v>
      </c>
      <c r="E734" s="10" t="s">
        <v>26</v>
      </c>
      <c r="F734" s="12">
        <v>7994.0</v>
      </c>
      <c r="G734" s="13">
        <v>417.0</v>
      </c>
      <c r="H734" s="13">
        <v>32.0</v>
      </c>
      <c r="I734" s="14">
        <v>2893.23</v>
      </c>
      <c r="J734" s="13">
        <v>19830.0</v>
      </c>
      <c r="K734" s="13">
        <v>475920.0</v>
      </c>
      <c r="L734" s="10" t="s">
        <v>17</v>
      </c>
      <c r="M734" s="15">
        <f t="shared" si="1"/>
        <v>-0.6380748061</v>
      </c>
      <c r="N734" s="16">
        <v>249.81</v>
      </c>
    </row>
    <row r="735" ht="15.75" customHeight="1">
      <c r="A735" s="9" t="s">
        <v>783</v>
      </c>
      <c r="B735" s="10" t="s">
        <v>75</v>
      </c>
      <c r="C735" s="11">
        <v>46158.0</v>
      </c>
      <c r="D735" s="11">
        <v>46168.0</v>
      </c>
      <c r="E735" s="10" t="s">
        <v>26</v>
      </c>
      <c r="F735" s="12">
        <v>24632.0</v>
      </c>
      <c r="G735" s="13">
        <v>4744.0</v>
      </c>
      <c r="H735" s="13">
        <v>349.0</v>
      </c>
      <c r="I735" s="14">
        <v>74722.15</v>
      </c>
      <c r="J735" s="13">
        <v>30999.0</v>
      </c>
      <c r="K735" s="13">
        <v>557982.0</v>
      </c>
      <c r="L735" s="10" t="s">
        <v>17</v>
      </c>
      <c r="M735" s="15">
        <f t="shared" si="1"/>
        <v>2.033539704</v>
      </c>
      <c r="N735" s="16">
        <v>70.58</v>
      </c>
    </row>
    <row r="736" ht="15.75" customHeight="1">
      <c r="A736" s="9" t="s">
        <v>784</v>
      </c>
      <c r="B736" s="10" t="s">
        <v>75</v>
      </c>
      <c r="C736" s="11">
        <v>45996.0</v>
      </c>
      <c r="D736" s="11">
        <v>46004.0</v>
      </c>
      <c r="E736" s="10" t="s">
        <v>26</v>
      </c>
      <c r="F736" s="12">
        <v>13157.0</v>
      </c>
      <c r="G736" s="13">
        <v>763.0</v>
      </c>
      <c r="H736" s="13">
        <v>28.0</v>
      </c>
      <c r="I736" s="14">
        <v>2117.75</v>
      </c>
      <c r="J736" s="13">
        <v>36094.0</v>
      </c>
      <c r="K736" s="13">
        <v>866256.0</v>
      </c>
      <c r="L736" s="10" t="s">
        <v>17</v>
      </c>
      <c r="M736" s="15">
        <f t="shared" si="1"/>
        <v>-0.8390400547</v>
      </c>
      <c r="N736" s="16">
        <v>469.89</v>
      </c>
    </row>
    <row r="737" ht="15.75" customHeight="1">
      <c r="A737" s="9" t="s">
        <v>785</v>
      </c>
      <c r="B737" s="10" t="s">
        <v>47</v>
      </c>
      <c r="C737" s="11">
        <v>46156.0</v>
      </c>
      <c r="D737" s="11">
        <v>46176.0</v>
      </c>
      <c r="E737" s="10" t="s">
        <v>26</v>
      </c>
      <c r="F737" s="12">
        <v>7404.0</v>
      </c>
      <c r="G737" s="13">
        <v>1288.0</v>
      </c>
      <c r="H737" s="13">
        <v>79.0</v>
      </c>
      <c r="I737" s="14">
        <v>28009.28</v>
      </c>
      <c r="J737" s="13">
        <v>10793.0</v>
      </c>
      <c r="K737" s="13">
        <v>118723.0</v>
      </c>
      <c r="L737" s="10" t="s">
        <v>17</v>
      </c>
      <c r="M737" s="15">
        <f t="shared" si="1"/>
        <v>2.782992977</v>
      </c>
      <c r="N737" s="16">
        <v>93.72</v>
      </c>
    </row>
    <row r="738" ht="15.75" customHeight="1">
      <c r="A738" s="9" t="s">
        <v>786</v>
      </c>
      <c r="B738" s="10" t="s">
        <v>28</v>
      </c>
      <c r="C738" s="11">
        <v>45906.0</v>
      </c>
      <c r="D738" s="11">
        <v>45957.0</v>
      </c>
      <c r="E738" s="10" t="s">
        <v>35</v>
      </c>
      <c r="F738" s="12">
        <v>4715.0</v>
      </c>
      <c r="G738" s="13">
        <v>607.0</v>
      </c>
      <c r="H738" s="13">
        <v>61.0</v>
      </c>
      <c r="I738" s="14">
        <v>8454.39</v>
      </c>
      <c r="J738" s="13">
        <v>17061.0</v>
      </c>
      <c r="K738" s="13">
        <v>426525.0</v>
      </c>
      <c r="L738" s="10" t="s">
        <v>17</v>
      </c>
      <c r="M738" s="15">
        <f t="shared" si="1"/>
        <v>0.7930837752</v>
      </c>
      <c r="N738" s="16">
        <v>77.3</v>
      </c>
    </row>
    <row r="739" ht="15.75" customHeight="1">
      <c r="A739" s="9" t="s">
        <v>787</v>
      </c>
      <c r="B739" s="10" t="s">
        <v>75</v>
      </c>
      <c r="C739" s="11">
        <v>46162.0</v>
      </c>
      <c r="D739" s="11">
        <v>46186.0</v>
      </c>
      <c r="E739" s="10" t="s">
        <v>26</v>
      </c>
      <c r="F739" s="12">
        <v>21778.0</v>
      </c>
      <c r="G739" s="13">
        <v>1218.0</v>
      </c>
      <c r="H739" s="13">
        <v>55.0</v>
      </c>
      <c r="I739" s="14">
        <v>11089.72</v>
      </c>
      <c r="J739" s="13">
        <v>42024.0</v>
      </c>
      <c r="K739" s="13">
        <v>462264.0</v>
      </c>
      <c r="L739" s="10" t="s">
        <v>17</v>
      </c>
      <c r="M739" s="15">
        <f t="shared" si="1"/>
        <v>-0.4907833594</v>
      </c>
      <c r="N739" s="16">
        <v>395.96</v>
      </c>
    </row>
    <row r="740" ht="15.75" customHeight="1">
      <c r="A740" s="9" t="s">
        <v>788</v>
      </c>
      <c r="B740" s="10" t="s">
        <v>28</v>
      </c>
      <c r="C740" s="11">
        <v>45842.0</v>
      </c>
      <c r="D740" s="11">
        <v>45901.0</v>
      </c>
      <c r="E740" s="10" t="s">
        <v>26</v>
      </c>
      <c r="F740" s="12">
        <v>3791.0</v>
      </c>
      <c r="G740" s="13">
        <v>380.0</v>
      </c>
      <c r="H740" s="13">
        <v>8.0</v>
      </c>
      <c r="I740" s="14">
        <v>725.5</v>
      </c>
      <c r="J740" s="13">
        <v>4854.0</v>
      </c>
      <c r="K740" s="13">
        <v>53394.0</v>
      </c>
      <c r="L740" s="10" t="s">
        <v>17</v>
      </c>
      <c r="M740" s="15">
        <f t="shared" si="1"/>
        <v>-0.8086256924</v>
      </c>
      <c r="N740" s="16">
        <v>473.88</v>
      </c>
    </row>
    <row r="741" ht="15.75" customHeight="1">
      <c r="A741" s="9" t="s">
        <v>789</v>
      </c>
      <c r="B741" s="10" t="s">
        <v>58</v>
      </c>
      <c r="C741" s="11">
        <v>46085.0</v>
      </c>
      <c r="D741" s="11">
        <v>46090.0</v>
      </c>
      <c r="E741" s="10" t="s">
        <v>26</v>
      </c>
      <c r="F741" s="12">
        <v>19597.0</v>
      </c>
      <c r="G741" s="13">
        <v>1520.0</v>
      </c>
      <c r="H741" s="13">
        <v>49.0</v>
      </c>
      <c r="I741" s="14">
        <v>3420.65</v>
      </c>
      <c r="J741" s="13">
        <v>28827.0</v>
      </c>
      <c r="K741" s="13">
        <v>749502.0</v>
      </c>
      <c r="L741" s="10" t="s">
        <v>17</v>
      </c>
      <c r="M741" s="15">
        <f t="shared" si="1"/>
        <v>-0.825450324</v>
      </c>
      <c r="N741" s="16">
        <v>399.94</v>
      </c>
    </row>
    <row r="742" ht="15.75" customHeight="1">
      <c r="A742" s="9" t="s">
        <v>790</v>
      </c>
      <c r="B742" s="10" t="s">
        <v>28</v>
      </c>
      <c r="C742" s="11">
        <v>46027.0</v>
      </c>
      <c r="D742" s="11">
        <v>46048.0</v>
      </c>
      <c r="E742" s="10" t="s">
        <v>26</v>
      </c>
      <c r="F742" s="12">
        <v>9353.0</v>
      </c>
      <c r="G742" s="13">
        <v>1247.0</v>
      </c>
      <c r="H742" s="13">
        <v>95.0</v>
      </c>
      <c r="I742" s="14">
        <v>18939.36</v>
      </c>
      <c r="J742" s="13">
        <v>27367.0</v>
      </c>
      <c r="K742" s="13">
        <v>328404.0</v>
      </c>
      <c r="L742" s="10" t="s">
        <v>17</v>
      </c>
      <c r="M742" s="15">
        <f t="shared" si="1"/>
        <v>1.024950283</v>
      </c>
      <c r="N742" s="16">
        <v>98.45</v>
      </c>
    </row>
    <row r="743" ht="15.75" customHeight="1">
      <c r="A743" s="9" t="s">
        <v>791</v>
      </c>
      <c r="B743" s="10" t="s">
        <v>62</v>
      </c>
      <c r="C743" s="11">
        <v>45929.0</v>
      </c>
      <c r="D743" s="11">
        <v>45982.0</v>
      </c>
      <c r="E743" s="10" t="s">
        <v>35</v>
      </c>
      <c r="F743" s="12">
        <v>2280.0</v>
      </c>
      <c r="G743" s="13">
        <v>249.0</v>
      </c>
      <c r="H743" s="13">
        <v>69.0</v>
      </c>
      <c r="I743" s="14">
        <v>11711.58</v>
      </c>
      <c r="J743" s="13">
        <v>7169.0</v>
      </c>
      <c r="K743" s="13">
        <v>64521.0</v>
      </c>
      <c r="L743" s="10" t="s">
        <v>17</v>
      </c>
      <c r="M743" s="15">
        <f t="shared" si="1"/>
        <v>4.136657895</v>
      </c>
      <c r="N743" s="16">
        <v>33.04</v>
      </c>
    </row>
    <row r="744" ht="15.75" customHeight="1">
      <c r="A744" s="9" t="s">
        <v>792</v>
      </c>
      <c r="B744" s="10" t="s">
        <v>47</v>
      </c>
      <c r="C744" s="11">
        <v>46034.0</v>
      </c>
      <c r="D744" s="11">
        <v>46094.0</v>
      </c>
      <c r="E744" s="10" t="s">
        <v>35</v>
      </c>
      <c r="F744" s="12">
        <v>2775.0</v>
      </c>
      <c r="G744" s="13">
        <v>216.0</v>
      </c>
      <c r="H744" s="13">
        <v>53.0</v>
      </c>
      <c r="I744" s="14">
        <v>14100.15</v>
      </c>
      <c r="J744" s="13">
        <v>9656.0</v>
      </c>
      <c r="K744" s="13">
        <v>135184.0</v>
      </c>
      <c r="L744" s="10" t="s">
        <v>17</v>
      </c>
      <c r="M744" s="15">
        <f t="shared" si="1"/>
        <v>4.081135135</v>
      </c>
      <c r="N744" s="16">
        <v>52.36</v>
      </c>
    </row>
    <row r="745" ht="15.75" customHeight="1">
      <c r="A745" s="9" t="s">
        <v>793</v>
      </c>
      <c r="B745" s="10" t="s">
        <v>15</v>
      </c>
      <c r="C745" s="11">
        <v>45934.0</v>
      </c>
      <c r="D745" s="11">
        <v>45990.0</v>
      </c>
      <c r="E745" s="10" t="s">
        <v>35</v>
      </c>
      <c r="F745" s="12">
        <v>1039.0</v>
      </c>
      <c r="G745" s="13">
        <v>78.0</v>
      </c>
      <c r="H745" s="13">
        <v>12.0</v>
      </c>
      <c r="I745" s="14">
        <v>1802.79</v>
      </c>
      <c r="J745" s="13">
        <v>4938.0</v>
      </c>
      <c r="K745" s="13">
        <v>88884.0</v>
      </c>
      <c r="L745" s="10" t="s">
        <v>17</v>
      </c>
      <c r="M745" s="15">
        <f t="shared" si="1"/>
        <v>0.735120308</v>
      </c>
      <c r="N745" s="16">
        <v>86.58</v>
      </c>
    </row>
    <row r="746" ht="15.75" customHeight="1">
      <c r="A746" s="9" t="s">
        <v>794</v>
      </c>
      <c r="B746" s="10" t="s">
        <v>56</v>
      </c>
      <c r="C746" s="11">
        <v>45912.0</v>
      </c>
      <c r="D746" s="11">
        <v>45930.0</v>
      </c>
      <c r="E746" s="10" t="s">
        <v>16</v>
      </c>
      <c r="F746" s="12">
        <v>17915.0</v>
      </c>
      <c r="G746" s="13">
        <v>922.0</v>
      </c>
      <c r="H746" s="13">
        <v>85.0</v>
      </c>
      <c r="I746" s="14">
        <v>17229.95</v>
      </c>
      <c r="J746" s="13">
        <v>20742.0</v>
      </c>
      <c r="K746" s="13">
        <v>228162.0</v>
      </c>
      <c r="L746" s="10" t="s">
        <v>17</v>
      </c>
      <c r="M746" s="15">
        <f t="shared" si="1"/>
        <v>-0.03823890594</v>
      </c>
      <c r="N746" s="16">
        <v>210.76</v>
      </c>
    </row>
    <row r="747" ht="15.75" customHeight="1">
      <c r="A747" s="9" t="s">
        <v>795</v>
      </c>
      <c r="B747" s="10" t="s">
        <v>28</v>
      </c>
      <c r="C747" s="11">
        <v>46040.0</v>
      </c>
      <c r="D747" s="11">
        <v>46061.0</v>
      </c>
      <c r="E747" s="10" t="s">
        <v>26</v>
      </c>
      <c r="F747" s="12">
        <v>10598.0</v>
      </c>
      <c r="G747" s="13">
        <v>1296.0</v>
      </c>
      <c r="H747" s="13">
        <v>99.0</v>
      </c>
      <c r="I747" s="14">
        <v>9834.51</v>
      </c>
      <c r="J747" s="13">
        <v>16491.0</v>
      </c>
      <c r="K747" s="13">
        <v>362802.0</v>
      </c>
      <c r="L747" s="10" t="s">
        <v>17</v>
      </c>
      <c r="M747" s="15">
        <f t="shared" si="1"/>
        <v>-0.07204095112</v>
      </c>
      <c r="N747" s="16">
        <v>107.05</v>
      </c>
    </row>
    <row r="748" ht="15.75" customHeight="1">
      <c r="A748" s="9" t="s">
        <v>796</v>
      </c>
      <c r="B748" s="10" t="s">
        <v>19</v>
      </c>
      <c r="C748" s="11">
        <v>45928.0</v>
      </c>
      <c r="D748" s="11">
        <v>45959.0</v>
      </c>
      <c r="E748" s="10" t="s">
        <v>26</v>
      </c>
      <c r="F748" s="12">
        <v>4789.0</v>
      </c>
      <c r="G748" s="13">
        <v>326.0</v>
      </c>
      <c r="H748" s="13">
        <v>9.0</v>
      </c>
      <c r="I748" s="14">
        <v>1454.91</v>
      </c>
      <c r="J748" s="13">
        <v>9603.0</v>
      </c>
      <c r="K748" s="13">
        <v>172854.0</v>
      </c>
      <c r="L748" s="10" t="s">
        <v>17</v>
      </c>
      <c r="M748" s="15">
        <f t="shared" si="1"/>
        <v>-0.696197536</v>
      </c>
      <c r="N748" s="16">
        <v>532.11</v>
      </c>
    </row>
    <row r="749" ht="15.75" customHeight="1">
      <c r="A749" s="9" t="s">
        <v>797</v>
      </c>
      <c r="B749" s="10" t="s">
        <v>62</v>
      </c>
      <c r="C749" s="11">
        <v>45915.0</v>
      </c>
      <c r="D749" s="11">
        <v>45919.0</v>
      </c>
      <c r="E749" s="10" t="s">
        <v>26</v>
      </c>
      <c r="F749" s="12">
        <v>24625.0</v>
      </c>
      <c r="G749" s="13">
        <v>1475.0</v>
      </c>
      <c r="H749" s="13">
        <v>96.0</v>
      </c>
      <c r="I749" s="14">
        <v>12066.08</v>
      </c>
      <c r="J749" s="13">
        <v>68567.0</v>
      </c>
      <c r="K749" s="13">
        <v>1097072.0</v>
      </c>
      <c r="L749" s="10" t="s">
        <v>17</v>
      </c>
      <c r="M749" s="15">
        <f t="shared" si="1"/>
        <v>-0.5100069036</v>
      </c>
      <c r="N749" s="16">
        <v>256.51</v>
      </c>
    </row>
    <row r="750" ht="15.75" customHeight="1">
      <c r="A750" s="9" t="s">
        <v>798</v>
      </c>
      <c r="B750" s="10" t="s">
        <v>58</v>
      </c>
      <c r="C750" s="11">
        <v>45870.0</v>
      </c>
      <c r="D750" s="11">
        <v>45924.0</v>
      </c>
      <c r="E750" s="10" t="s">
        <v>26</v>
      </c>
      <c r="F750" s="12">
        <v>3825.0</v>
      </c>
      <c r="G750" s="13">
        <v>433.0</v>
      </c>
      <c r="H750" s="13">
        <v>13.0</v>
      </c>
      <c r="I750" s="14">
        <v>2803.89</v>
      </c>
      <c r="J750" s="13">
        <v>8192.0</v>
      </c>
      <c r="K750" s="13">
        <v>81920.0</v>
      </c>
      <c r="L750" s="10" t="s">
        <v>17</v>
      </c>
      <c r="M750" s="15">
        <f t="shared" si="1"/>
        <v>-0.2669568627</v>
      </c>
      <c r="N750" s="16">
        <v>294.23</v>
      </c>
    </row>
    <row r="751" ht="15.75" customHeight="1">
      <c r="A751" s="9" t="s">
        <v>799</v>
      </c>
      <c r="B751" s="10" t="s">
        <v>28</v>
      </c>
      <c r="C751" s="11">
        <v>45886.0</v>
      </c>
      <c r="D751" s="11">
        <v>45890.0</v>
      </c>
      <c r="E751" s="10" t="s">
        <v>16</v>
      </c>
      <c r="F751" s="12">
        <v>58048.0</v>
      </c>
      <c r="G751" s="13">
        <v>3524.0</v>
      </c>
      <c r="H751" s="13">
        <v>244.0</v>
      </c>
      <c r="I751" s="14">
        <v>113161.39</v>
      </c>
      <c r="J751" s="13">
        <v>53888.0</v>
      </c>
      <c r="K751" s="13">
        <v>1293312.0</v>
      </c>
      <c r="L751" s="10" t="s">
        <v>17</v>
      </c>
      <c r="M751" s="15">
        <f t="shared" si="1"/>
        <v>0.9494451144</v>
      </c>
      <c r="N751" s="16">
        <v>237.9</v>
      </c>
    </row>
    <row r="752" ht="15.75" customHeight="1">
      <c r="A752" s="9" t="s">
        <v>800</v>
      </c>
      <c r="B752" s="10" t="s">
        <v>62</v>
      </c>
      <c r="C752" s="11">
        <v>46079.0</v>
      </c>
      <c r="D752" s="11">
        <v>46087.0</v>
      </c>
      <c r="E752" s="10" t="s">
        <v>16</v>
      </c>
      <c r="F752" s="12">
        <v>20789.0</v>
      </c>
      <c r="G752" s="13">
        <v>1513.0</v>
      </c>
      <c r="H752" s="13">
        <v>210.0</v>
      </c>
      <c r="I752" s="14">
        <v>13700.67</v>
      </c>
      <c r="J752" s="13">
        <v>20791.0</v>
      </c>
      <c r="K752" s="13">
        <v>602939.0</v>
      </c>
      <c r="L752" s="10" t="s">
        <v>17</v>
      </c>
      <c r="M752" s="15">
        <f t="shared" si="1"/>
        <v>-0.3409654144</v>
      </c>
      <c r="N752" s="16">
        <v>99.0</v>
      </c>
    </row>
    <row r="753" ht="15.75" customHeight="1">
      <c r="A753" s="9" t="s">
        <v>801</v>
      </c>
      <c r="B753" s="10" t="s">
        <v>15</v>
      </c>
      <c r="C753" s="11">
        <v>45897.0</v>
      </c>
      <c r="D753" s="11">
        <v>45938.0</v>
      </c>
      <c r="E753" s="10" t="s">
        <v>26</v>
      </c>
      <c r="F753" s="12">
        <v>24567.0</v>
      </c>
      <c r="G753" s="13">
        <v>2352.0</v>
      </c>
      <c r="H753" s="13">
        <v>59.0</v>
      </c>
      <c r="I753" s="14">
        <v>3736.41</v>
      </c>
      <c r="J753" s="13">
        <v>66826.0</v>
      </c>
      <c r="K753" s="13">
        <v>1937954.0</v>
      </c>
      <c r="L753" s="10" t="s">
        <v>17</v>
      </c>
      <c r="M753" s="15">
        <f t="shared" si="1"/>
        <v>-0.8479093906</v>
      </c>
      <c r="N753" s="16">
        <v>416.39</v>
      </c>
    </row>
    <row r="754" ht="15.75" customHeight="1">
      <c r="A754" s="9" t="s">
        <v>802</v>
      </c>
      <c r="B754" s="10" t="s">
        <v>52</v>
      </c>
      <c r="C754" s="11">
        <v>46157.0</v>
      </c>
      <c r="D754" s="11">
        <v>46207.0</v>
      </c>
      <c r="E754" s="10" t="s">
        <v>26</v>
      </c>
      <c r="F754" s="12">
        <v>9515.0</v>
      </c>
      <c r="G754" s="13">
        <v>872.0</v>
      </c>
      <c r="H754" s="13">
        <v>19.0</v>
      </c>
      <c r="I754" s="14">
        <v>2028.84</v>
      </c>
      <c r="J754" s="13">
        <v>14794.0</v>
      </c>
      <c r="K754" s="13">
        <v>355056.0</v>
      </c>
      <c r="L754" s="10" t="s">
        <v>17</v>
      </c>
      <c r="M754" s="15">
        <f t="shared" si="1"/>
        <v>-0.7867745665</v>
      </c>
      <c r="N754" s="16">
        <v>500.79</v>
      </c>
    </row>
    <row r="755" ht="15.75" customHeight="1">
      <c r="A755" s="9" t="s">
        <v>803</v>
      </c>
      <c r="B755" s="10" t="s">
        <v>75</v>
      </c>
      <c r="C755" s="11">
        <v>45850.0</v>
      </c>
      <c r="D755" s="11">
        <v>45903.0</v>
      </c>
      <c r="E755" s="10" t="s">
        <v>26</v>
      </c>
      <c r="F755" s="12">
        <v>20797.0</v>
      </c>
      <c r="G755" s="13">
        <v>3327.0</v>
      </c>
      <c r="H755" s="13">
        <v>202.0</v>
      </c>
      <c r="I755" s="14">
        <v>18347.97</v>
      </c>
      <c r="J755" s="13">
        <v>30800.0</v>
      </c>
      <c r="K755" s="13">
        <v>369600.0</v>
      </c>
      <c r="L755" s="10" t="s">
        <v>17</v>
      </c>
      <c r="M755" s="15">
        <f t="shared" si="1"/>
        <v>-0.1177588114</v>
      </c>
      <c r="N755" s="16">
        <v>102.96</v>
      </c>
    </row>
    <row r="756" ht="15.75" customHeight="1">
      <c r="A756" s="9" t="s">
        <v>804</v>
      </c>
      <c r="B756" s="10" t="s">
        <v>58</v>
      </c>
      <c r="C756" s="11">
        <v>45847.0</v>
      </c>
      <c r="D756" s="11">
        <v>45899.0</v>
      </c>
      <c r="E756" s="10" t="s">
        <v>16</v>
      </c>
      <c r="F756" s="12">
        <v>13368.0</v>
      </c>
      <c r="G756" s="13">
        <v>2132.0</v>
      </c>
      <c r="H756" s="13">
        <v>170.0</v>
      </c>
      <c r="I756" s="14">
        <v>15348.01</v>
      </c>
      <c r="J756" s="13">
        <v>14016.0</v>
      </c>
      <c r="K756" s="13">
        <v>168192.0</v>
      </c>
      <c r="L756" s="10" t="s">
        <v>17</v>
      </c>
      <c r="M756" s="15">
        <f t="shared" si="1"/>
        <v>0.1481156493</v>
      </c>
      <c r="N756" s="16">
        <v>78.64</v>
      </c>
    </row>
    <row r="757" ht="15.75" customHeight="1">
      <c r="A757" s="9" t="s">
        <v>805</v>
      </c>
      <c r="B757" s="10" t="s">
        <v>15</v>
      </c>
      <c r="C757" s="11">
        <v>45955.0</v>
      </c>
      <c r="D757" s="11">
        <v>45966.0</v>
      </c>
      <c r="E757" s="10" t="s">
        <v>26</v>
      </c>
      <c r="F757" s="12">
        <v>6644.0</v>
      </c>
      <c r="G757" s="13">
        <v>347.0</v>
      </c>
      <c r="H757" s="13">
        <v>24.0</v>
      </c>
      <c r="I757" s="14">
        <v>1497.61</v>
      </c>
      <c r="J757" s="13">
        <v>10739.0</v>
      </c>
      <c r="K757" s="13">
        <v>85912.0</v>
      </c>
      <c r="L757" s="10" t="s">
        <v>17</v>
      </c>
      <c r="M757" s="15">
        <f t="shared" si="1"/>
        <v>-0.7745921132</v>
      </c>
      <c r="N757" s="16">
        <v>276.83</v>
      </c>
    </row>
    <row r="758" ht="15.75" customHeight="1">
      <c r="A758" s="9" t="s">
        <v>806</v>
      </c>
      <c r="B758" s="10" t="s">
        <v>58</v>
      </c>
      <c r="C758" s="11">
        <v>45927.0</v>
      </c>
      <c r="D758" s="11">
        <v>45945.0</v>
      </c>
      <c r="E758" s="10" t="s">
        <v>26</v>
      </c>
      <c r="F758" s="12">
        <v>10733.0</v>
      </c>
      <c r="G758" s="13">
        <v>617.0</v>
      </c>
      <c r="H758" s="13">
        <v>30.0</v>
      </c>
      <c r="I758" s="14">
        <v>2671.39</v>
      </c>
      <c r="J758" s="13">
        <v>29498.0</v>
      </c>
      <c r="K758" s="13">
        <v>707952.0</v>
      </c>
      <c r="L758" s="10" t="s">
        <v>17</v>
      </c>
      <c r="M758" s="15">
        <f t="shared" si="1"/>
        <v>-0.7511050033</v>
      </c>
      <c r="N758" s="16">
        <v>357.77</v>
      </c>
    </row>
    <row r="759" ht="15.75" customHeight="1">
      <c r="A759" s="9" t="s">
        <v>807</v>
      </c>
      <c r="B759" s="10" t="s">
        <v>75</v>
      </c>
      <c r="C759" s="11">
        <v>46122.0</v>
      </c>
      <c r="D759" s="11">
        <v>46139.0</v>
      </c>
      <c r="E759" s="10" t="s">
        <v>35</v>
      </c>
      <c r="F759" s="12">
        <v>1622.0</v>
      </c>
      <c r="G759" s="13">
        <v>84.0</v>
      </c>
      <c r="H759" s="13">
        <v>15.0</v>
      </c>
      <c r="I759" s="14">
        <v>591.09</v>
      </c>
      <c r="J759" s="13">
        <v>6575.0</v>
      </c>
      <c r="K759" s="13">
        <v>72325.0</v>
      </c>
      <c r="L759" s="10" t="s">
        <v>17</v>
      </c>
      <c r="M759" s="15">
        <f t="shared" si="1"/>
        <v>-0.6355795314</v>
      </c>
      <c r="N759" s="16">
        <v>108.13</v>
      </c>
    </row>
    <row r="760" ht="15.75" customHeight="1">
      <c r="A760" s="9" t="s">
        <v>808</v>
      </c>
      <c r="B760" s="10" t="s">
        <v>38</v>
      </c>
      <c r="C760" s="11">
        <v>46076.0</v>
      </c>
      <c r="D760" s="11">
        <v>46084.0</v>
      </c>
      <c r="E760" s="10" t="s">
        <v>35</v>
      </c>
      <c r="F760" s="12">
        <v>2401.0</v>
      </c>
      <c r="G760" s="13">
        <v>426.0</v>
      </c>
      <c r="H760" s="13">
        <v>85.0</v>
      </c>
      <c r="I760" s="14">
        <v>5101.93</v>
      </c>
      <c r="J760" s="13">
        <v>8194.0</v>
      </c>
      <c r="K760" s="13">
        <v>196656.0</v>
      </c>
      <c r="L760" s="10" t="s">
        <v>17</v>
      </c>
      <c r="M760" s="15">
        <f t="shared" si="1"/>
        <v>1.124918784</v>
      </c>
      <c r="N760" s="16">
        <v>28.25</v>
      </c>
    </row>
    <row r="761" ht="15.75" customHeight="1">
      <c r="A761" s="9" t="s">
        <v>809</v>
      </c>
      <c r="B761" s="10" t="s">
        <v>62</v>
      </c>
      <c r="C761" s="11">
        <v>46199.0</v>
      </c>
      <c r="D761" s="11">
        <v>46214.0</v>
      </c>
      <c r="E761" s="10" t="s">
        <v>26</v>
      </c>
      <c r="F761" s="12">
        <v>3312.0</v>
      </c>
      <c r="G761" s="13">
        <v>345.0</v>
      </c>
      <c r="H761" s="13">
        <v>7.0</v>
      </c>
      <c r="I761" s="14">
        <v>21442.18</v>
      </c>
      <c r="J761" s="13">
        <v>5903.0</v>
      </c>
      <c r="K761" s="13">
        <v>82642.0</v>
      </c>
      <c r="L761" s="10" t="s">
        <v>17</v>
      </c>
      <c r="M761" s="15">
        <f t="shared" si="1"/>
        <v>5.474088164</v>
      </c>
      <c r="N761" s="16">
        <v>473.14</v>
      </c>
    </row>
    <row r="762" ht="15.75" customHeight="1">
      <c r="A762" s="9" t="s">
        <v>810</v>
      </c>
      <c r="B762" s="10" t="s">
        <v>56</v>
      </c>
      <c r="C762" s="11">
        <v>45941.0</v>
      </c>
      <c r="D762" s="11">
        <v>45982.0</v>
      </c>
      <c r="E762" s="10" t="s">
        <v>35</v>
      </c>
      <c r="F762" s="12">
        <v>4097.0</v>
      </c>
      <c r="G762" s="13">
        <v>215.0</v>
      </c>
      <c r="H762" s="13">
        <v>28.0</v>
      </c>
      <c r="I762" s="14">
        <v>6355.7</v>
      </c>
      <c r="J762" s="13">
        <v>9452.0</v>
      </c>
      <c r="K762" s="13">
        <v>94520.0</v>
      </c>
      <c r="L762" s="10" t="s">
        <v>17</v>
      </c>
      <c r="M762" s="15">
        <f t="shared" si="1"/>
        <v>0.5513058335</v>
      </c>
      <c r="N762" s="16">
        <v>146.32</v>
      </c>
    </row>
    <row r="763" ht="15.75" customHeight="1">
      <c r="A763" s="9" t="s">
        <v>811</v>
      </c>
      <c r="B763" s="10" t="s">
        <v>15</v>
      </c>
      <c r="C763" s="11">
        <v>45868.0</v>
      </c>
      <c r="D763" s="11">
        <v>45888.0</v>
      </c>
      <c r="E763" s="10" t="s">
        <v>26</v>
      </c>
      <c r="F763" s="12">
        <v>15704.0</v>
      </c>
      <c r="G763" s="13">
        <v>807.0</v>
      </c>
      <c r="H763" s="13">
        <v>36.0</v>
      </c>
      <c r="I763" s="14">
        <v>1680.64</v>
      </c>
      <c r="J763" s="13">
        <v>43610.0</v>
      </c>
      <c r="K763" s="13">
        <v>697760.0</v>
      </c>
      <c r="L763" s="10" t="s">
        <v>17</v>
      </c>
      <c r="M763" s="15">
        <f t="shared" si="1"/>
        <v>-0.8929801325</v>
      </c>
      <c r="N763" s="16">
        <v>436.22</v>
      </c>
    </row>
    <row r="764" ht="15.75" customHeight="1">
      <c r="A764" s="9" t="s">
        <v>812</v>
      </c>
      <c r="B764" s="10" t="s">
        <v>47</v>
      </c>
      <c r="C764" s="11">
        <v>46121.0</v>
      </c>
      <c r="D764" s="11">
        <v>46128.0</v>
      </c>
      <c r="E764" s="10" t="s">
        <v>16</v>
      </c>
      <c r="F764" s="12">
        <v>53851.0</v>
      </c>
      <c r="G764" s="13">
        <v>3515.0</v>
      </c>
      <c r="H764" s="13">
        <v>432.0</v>
      </c>
      <c r="I764" s="14">
        <v>74073.33</v>
      </c>
      <c r="J764" s="13">
        <v>44878.0</v>
      </c>
      <c r="K764" s="13">
        <v>583414.0</v>
      </c>
      <c r="L764" s="10" t="s">
        <v>17</v>
      </c>
      <c r="M764" s="15">
        <f t="shared" si="1"/>
        <v>0.37552376</v>
      </c>
      <c r="N764" s="16">
        <v>124.66</v>
      </c>
    </row>
    <row r="765" ht="15.75" customHeight="1">
      <c r="A765" s="9" t="s">
        <v>813</v>
      </c>
      <c r="B765" s="10" t="s">
        <v>38</v>
      </c>
      <c r="C765" s="11">
        <v>46145.0</v>
      </c>
      <c r="D765" s="11">
        <v>46200.0</v>
      </c>
      <c r="E765" s="10" t="s">
        <v>26</v>
      </c>
      <c r="F765" s="12">
        <v>18782.0</v>
      </c>
      <c r="G765" s="13">
        <v>1371.0</v>
      </c>
      <c r="H765" s="13">
        <v>103.0</v>
      </c>
      <c r="I765" s="14">
        <v>13421.57</v>
      </c>
      <c r="J765" s="13">
        <v>34975.0</v>
      </c>
      <c r="K765" s="13">
        <v>734475.0</v>
      </c>
      <c r="L765" s="10" t="s">
        <v>17</v>
      </c>
      <c r="M765" s="15">
        <f t="shared" si="1"/>
        <v>-0.285402513</v>
      </c>
      <c r="N765" s="16">
        <v>182.35</v>
      </c>
    </row>
    <row r="766" ht="15.75" customHeight="1">
      <c r="A766" s="9" t="s">
        <v>814</v>
      </c>
      <c r="B766" s="10" t="s">
        <v>62</v>
      </c>
      <c r="C766" s="11">
        <v>45886.0</v>
      </c>
      <c r="D766" s="11">
        <v>45942.0</v>
      </c>
      <c r="E766" s="10" t="s">
        <v>16</v>
      </c>
      <c r="F766" s="12">
        <v>18785.0</v>
      </c>
      <c r="G766" s="13">
        <v>3503.0</v>
      </c>
      <c r="H766" s="13">
        <v>558.0</v>
      </c>
      <c r="I766" s="14">
        <v>74153.7</v>
      </c>
      <c r="J766" s="13">
        <v>21340.0</v>
      </c>
      <c r="K766" s="13">
        <v>618860.0</v>
      </c>
      <c r="L766" s="10" t="s">
        <v>17</v>
      </c>
      <c r="M766" s="15">
        <f t="shared" si="1"/>
        <v>2.947495342</v>
      </c>
      <c r="N766" s="16">
        <v>33.66</v>
      </c>
    </row>
    <row r="767" ht="15.75" customHeight="1">
      <c r="A767" s="9" t="s">
        <v>815</v>
      </c>
      <c r="B767" s="10" t="s">
        <v>62</v>
      </c>
      <c r="C767" s="11">
        <v>46020.0</v>
      </c>
      <c r="D767" s="11">
        <v>46050.0</v>
      </c>
      <c r="E767" s="10" t="s">
        <v>16</v>
      </c>
      <c r="F767" s="12">
        <v>9884.0</v>
      </c>
      <c r="G767" s="13">
        <v>1240.0</v>
      </c>
      <c r="H767" s="13">
        <v>141.0</v>
      </c>
      <c r="I767" s="14">
        <v>19495.46</v>
      </c>
      <c r="J767" s="13">
        <v>9396.0</v>
      </c>
      <c r="K767" s="13">
        <v>178524.0</v>
      </c>
      <c r="L767" s="10" t="s">
        <v>17</v>
      </c>
      <c r="M767" s="15">
        <f t="shared" si="1"/>
        <v>0.9724261433</v>
      </c>
      <c r="N767" s="16">
        <v>70.1</v>
      </c>
    </row>
    <row r="768" ht="15.75" customHeight="1">
      <c r="A768" s="9" t="s">
        <v>816</v>
      </c>
      <c r="B768" s="10" t="s">
        <v>25</v>
      </c>
      <c r="C768" s="11">
        <v>46042.0</v>
      </c>
      <c r="D768" s="11">
        <v>46056.0</v>
      </c>
      <c r="E768" s="10" t="s">
        <v>35</v>
      </c>
      <c r="F768" s="12">
        <v>3199.0</v>
      </c>
      <c r="G768" s="13">
        <v>169.0</v>
      </c>
      <c r="H768" s="13">
        <v>38.0</v>
      </c>
      <c r="I768" s="14">
        <v>6019.4</v>
      </c>
      <c r="J768" s="13">
        <v>6959.0</v>
      </c>
      <c r="K768" s="13">
        <v>187893.0</v>
      </c>
      <c r="L768" s="10" t="s">
        <v>17</v>
      </c>
      <c r="M768" s="15">
        <f t="shared" si="1"/>
        <v>0.8816505158</v>
      </c>
      <c r="N768" s="16">
        <v>84.18</v>
      </c>
    </row>
    <row r="769" ht="15.75" customHeight="1">
      <c r="A769" s="9" t="s">
        <v>817</v>
      </c>
      <c r="B769" s="10" t="s">
        <v>15</v>
      </c>
      <c r="C769" s="11">
        <v>45844.0</v>
      </c>
      <c r="D769" s="11">
        <v>45856.0</v>
      </c>
      <c r="E769" s="10" t="s">
        <v>26</v>
      </c>
      <c r="F769" s="12">
        <v>20877.0</v>
      </c>
      <c r="G769" s="13">
        <v>3183.0</v>
      </c>
      <c r="H769" s="13">
        <v>128.0</v>
      </c>
      <c r="I769" s="14">
        <v>27358.82</v>
      </c>
      <c r="J769" s="13">
        <v>39274.0</v>
      </c>
      <c r="K769" s="13">
        <v>314192.0</v>
      </c>
      <c r="L769" s="10" t="s">
        <v>17</v>
      </c>
      <c r="M769" s="15">
        <f t="shared" si="1"/>
        <v>0.310476601</v>
      </c>
      <c r="N769" s="16">
        <v>163.1</v>
      </c>
    </row>
    <row r="770" ht="15.75" customHeight="1">
      <c r="A770" s="9" t="s">
        <v>818</v>
      </c>
      <c r="B770" s="10" t="s">
        <v>30</v>
      </c>
      <c r="C770" s="11">
        <v>46043.0</v>
      </c>
      <c r="D770" s="11">
        <v>46080.0</v>
      </c>
      <c r="E770" s="10" t="s">
        <v>26</v>
      </c>
      <c r="F770" s="12">
        <v>18943.0</v>
      </c>
      <c r="G770" s="13">
        <v>1726.0</v>
      </c>
      <c r="H770" s="13">
        <v>58.0</v>
      </c>
      <c r="I770" s="14">
        <v>12259.93</v>
      </c>
      <c r="J770" s="13">
        <v>58348.0</v>
      </c>
      <c r="K770" s="13">
        <v>583480.0</v>
      </c>
      <c r="L770" s="10" t="s">
        <v>17</v>
      </c>
      <c r="M770" s="15">
        <f t="shared" si="1"/>
        <v>-0.3527989231</v>
      </c>
      <c r="N770" s="16">
        <v>326.6</v>
      </c>
    </row>
    <row r="771" ht="15.75" customHeight="1">
      <c r="A771" s="9" t="s">
        <v>819</v>
      </c>
      <c r="B771" s="10" t="s">
        <v>28</v>
      </c>
      <c r="C771" s="11">
        <v>45896.0</v>
      </c>
      <c r="D771" s="11">
        <v>45936.0</v>
      </c>
      <c r="E771" s="10" t="s">
        <v>26</v>
      </c>
      <c r="F771" s="12">
        <v>10635.0</v>
      </c>
      <c r="G771" s="13">
        <v>782.0</v>
      </c>
      <c r="H771" s="13">
        <v>32.0</v>
      </c>
      <c r="I771" s="14">
        <v>6888.53</v>
      </c>
      <c r="J771" s="13">
        <v>14117.0</v>
      </c>
      <c r="K771" s="13">
        <v>296457.0</v>
      </c>
      <c r="L771" s="10" t="s">
        <v>17</v>
      </c>
      <c r="M771" s="15">
        <f t="shared" si="1"/>
        <v>-0.352277386</v>
      </c>
      <c r="N771" s="16">
        <v>332.34</v>
      </c>
    </row>
    <row r="772" ht="15.75" customHeight="1">
      <c r="A772" s="9" t="s">
        <v>820</v>
      </c>
      <c r="B772" s="10" t="s">
        <v>19</v>
      </c>
      <c r="C772" s="11">
        <v>46058.0</v>
      </c>
      <c r="D772" s="11">
        <v>46081.0</v>
      </c>
      <c r="E772" s="10" t="s">
        <v>16</v>
      </c>
      <c r="F772" s="12">
        <v>49617.0</v>
      </c>
      <c r="G772" s="13">
        <v>5751.0</v>
      </c>
      <c r="H772" s="13">
        <v>311.0</v>
      </c>
      <c r="I772" s="14">
        <v>16528.61</v>
      </c>
      <c r="J772" s="13">
        <v>71571.0</v>
      </c>
      <c r="K772" s="13">
        <v>715710.0</v>
      </c>
      <c r="L772" s="10" t="s">
        <v>17</v>
      </c>
      <c r="M772" s="15">
        <f t="shared" si="1"/>
        <v>-0.6668760707</v>
      </c>
      <c r="N772" s="16">
        <v>159.54</v>
      </c>
    </row>
    <row r="773" ht="15.75" customHeight="1">
      <c r="A773" s="9" t="s">
        <v>821</v>
      </c>
      <c r="B773" s="10" t="s">
        <v>75</v>
      </c>
      <c r="C773" s="11">
        <v>46118.0</v>
      </c>
      <c r="D773" s="11">
        <v>46161.0</v>
      </c>
      <c r="E773" s="10" t="s">
        <v>16</v>
      </c>
      <c r="F773" s="12">
        <v>9741.0</v>
      </c>
      <c r="G773" s="13">
        <v>621.0</v>
      </c>
      <c r="H773" s="13">
        <v>75.0</v>
      </c>
      <c r="I773" s="14">
        <v>14638.37</v>
      </c>
      <c r="J773" s="13">
        <v>6688.0</v>
      </c>
      <c r="K773" s="13">
        <v>160512.0</v>
      </c>
      <c r="L773" s="10" t="s">
        <v>17</v>
      </c>
      <c r="M773" s="15">
        <f t="shared" si="1"/>
        <v>0.5027584437</v>
      </c>
      <c r="N773" s="16">
        <v>129.88</v>
      </c>
    </row>
    <row r="774" ht="15.75" customHeight="1">
      <c r="A774" s="9" t="s">
        <v>822</v>
      </c>
      <c r="B774" s="10" t="s">
        <v>58</v>
      </c>
      <c r="C774" s="11">
        <v>46040.0</v>
      </c>
      <c r="D774" s="11">
        <v>46083.0</v>
      </c>
      <c r="E774" s="10" t="s">
        <v>16</v>
      </c>
      <c r="F774" s="12">
        <v>31676.0</v>
      </c>
      <c r="G774" s="13">
        <v>2284.0</v>
      </c>
      <c r="H774" s="13">
        <v>395.0</v>
      </c>
      <c r="I774" s="14">
        <v>60342.22</v>
      </c>
      <c r="J774" s="13">
        <v>30285.0</v>
      </c>
      <c r="K774" s="13">
        <v>666270.0</v>
      </c>
      <c r="L774" s="10" t="s">
        <v>17</v>
      </c>
      <c r="M774" s="15">
        <f t="shared" si="1"/>
        <v>0.904982321</v>
      </c>
      <c r="N774" s="16">
        <v>80.19</v>
      </c>
    </row>
    <row r="775" ht="15.75" customHeight="1">
      <c r="A775" s="9" t="s">
        <v>823</v>
      </c>
      <c r="B775" s="10" t="s">
        <v>28</v>
      </c>
      <c r="C775" s="11">
        <v>46136.0</v>
      </c>
      <c r="D775" s="11">
        <v>46155.0</v>
      </c>
      <c r="E775" s="10" t="s">
        <v>26</v>
      </c>
      <c r="F775" s="12">
        <v>8363.0</v>
      </c>
      <c r="G775" s="13">
        <v>418.0</v>
      </c>
      <c r="H775" s="13">
        <v>9.0</v>
      </c>
      <c r="I775" s="14">
        <v>1393.12</v>
      </c>
      <c r="J775" s="13">
        <v>9812.0</v>
      </c>
      <c r="K775" s="13">
        <v>206052.0</v>
      </c>
      <c r="L775" s="10" t="s">
        <v>17</v>
      </c>
      <c r="M775" s="15">
        <f t="shared" si="1"/>
        <v>-0.8334186297</v>
      </c>
      <c r="N775" s="16">
        <v>929.22</v>
      </c>
    </row>
    <row r="776" ht="15.75" customHeight="1">
      <c r="A776" s="9" t="s">
        <v>824</v>
      </c>
      <c r="B776" s="10" t="s">
        <v>25</v>
      </c>
      <c r="C776" s="11">
        <v>45998.0</v>
      </c>
      <c r="D776" s="11">
        <v>46021.0</v>
      </c>
      <c r="E776" s="10" t="s">
        <v>35</v>
      </c>
      <c r="F776" s="12">
        <v>4270.0</v>
      </c>
      <c r="G776" s="13">
        <v>385.0</v>
      </c>
      <c r="H776" s="13">
        <v>105.0</v>
      </c>
      <c r="I776" s="14">
        <v>12756.65</v>
      </c>
      <c r="J776" s="13">
        <v>13281.0</v>
      </c>
      <c r="K776" s="13">
        <v>185934.0</v>
      </c>
      <c r="L776" s="10" t="s">
        <v>17</v>
      </c>
      <c r="M776" s="15">
        <f t="shared" si="1"/>
        <v>1.987505855</v>
      </c>
      <c r="N776" s="16">
        <v>40.67</v>
      </c>
    </row>
    <row r="777" ht="15.75" customHeight="1">
      <c r="A777" s="9" t="s">
        <v>825</v>
      </c>
      <c r="B777" s="10" t="s">
        <v>62</v>
      </c>
      <c r="C777" s="11">
        <v>46028.0</v>
      </c>
      <c r="D777" s="11">
        <v>46047.0</v>
      </c>
      <c r="E777" s="10" t="s">
        <v>26</v>
      </c>
      <c r="F777" s="12">
        <v>15752.0</v>
      </c>
      <c r="G777" s="13">
        <v>891.0</v>
      </c>
      <c r="H777" s="13">
        <v>64.0</v>
      </c>
      <c r="I777" s="14">
        <v>4950.13</v>
      </c>
      <c r="J777" s="13">
        <v>20458.0</v>
      </c>
      <c r="K777" s="13">
        <v>552366.0</v>
      </c>
      <c r="L777" s="10" t="s">
        <v>17</v>
      </c>
      <c r="M777" s="15">
        <f t="shared" si="1"/>
        <v>-0.685745937</v>
      </c>
      <c r="N777" s="16">
        <v>246.13</v>
      </c>
    </row>
    <row r="778" ht="15.75" customHeight="1">
      <c r="A778" s="9" t="s">
        <v>826</v>
      </c>
      <c r="B778" s="10" t="s">
        <v>25</v>
      </c>
      <c r="C778" s="11">
        <v>45934.0</v>
      </c>
      <c r="D778" s="11">
        <v>45944.0</v>
      </c>
      <c r="E778" s="10" t="s">
        <v>16</v>
      </c>
      <c r="F778" s="12">
        <v>18462.0</v>
      </c>
      <c r="G778" s="13">
        <v>1140.0</v>
      </c>
      <c r="H778" s="13">
        <v>79.0</v>
      </c>
      <c r="I778" s="14">
        <v>11233.96</v>
      </c>
      <c r="J778" s="13">
        <v>27108.0</v>
      </c>
      <c r="K778" s="13">
        <v>487944.0</v>
      </c>
      <c r="L778" s="10" t="s">
        <v>17</v>
      </c>
      <c r="M778" s="15">
        <f t="shared" si="1"/>
        <v>-0.3915090456</v>
      </c>
      <c r="N778" s="16">
        <v>233.7</v>
      </c>
    </row>
    <row r="779" ht="15.75" customHeight="1">
      <c r="A779" s="9" t="s">
        <v>827</v>
      </c>
      <c r="B779" s="10" t="s">
        <v>25</v>
      </c>
      <c r="C779" s="11">
        <v>46092.0</v>
      </c>
      <c r="D779" s="11">
        <v>46130.0</v>
      </c>
      <c r="E779" s="10" t="s">
        <v>16</v>
      </c>
      <c r="F779" s="12">
        <v>15378.0</v>
      </c>
      <c r="G779" s="13">
        <v>1161.0</v>
      </c>
      <c r="H779" s="13">
        <v>87.0</v>
      </c>
      <c r="I779" s="14">
        <v>16707.51</v>
      </c>
      <c r="J779" s="13">
        <v>26553.0</v>
      </c>
      <c r="K779" s="13">
        <v>318636.0</v>
      </c>
      <c r="L779" s="10" t="s">
        <v>17</v>
      </c>
      <c r="M779" s="15">
        <f t="shared" si="1"/>
        <v>0.08645532579</v>
      </c>
      <c r="N779" s="16">
        <v>176.76</v>
      </c>
    </row>
    <row r="780" ht="15.75" customHeight="1">
      <c r="A780" s="9" t="s">
        <v>828</v>
      </c>
      <c r="B780" s="10" t="s">
        <v>56</v>
      </c>
      <c r="C780" s="11">
        <v>46056.0</v>
      </c>
      <c r="D780" s="11">
        <v>46063.0</v>
      </c>
      <c r="E780" s="10" t="s">
        <v>16</v>
      </c>
      <c r="F780" s="12">
        <v>16651.0</v>
      </c>
      <c r="G780" s="13">
        <v>3429.0</v>
      </c>
      <c r="H780" s="13">
        <v>497.0</v>
      </c>
      <c r="I780" s="14">
        <v>63665.1</v>
      </c>
      <c r="J780" s="13">
        <v>11730.0</v>
      </c>
      <c r="K780" s="13">
        <v>304980.0</v>
      </c>
      <c r="L780" s="10" t="s">
        <v>17</v>
      </c>
      <c r="M780" s="15">
        <f t="shared" si="1"/>
        <v>2.82350009</v>
      </c>
      <c r="N780" s="16">
        <v>33.5</v>
      </c>
    </row>
    <row r="781" ht="15.75" customHeight="1">
      <c r="A781" s="9" t="s">
        <v>829</v>
      </c>
      <c r="B781" s="10" t="s">
        <v>30</v>
      </c>
      <c r="C781" s="11">
        <v>46164.0</v>
      </c>
      <c r="D781" s="11">
        <v>46177.0</v>
      </c>
      <c r="E781" s="10" t="s">
        <v>16</v>
      </c>
      <c r="F781" s="12">
        <v>31149.0</v>
      </c>
      <c r="G781" s="13">
        <v>4582.0</v>
      </c>
      <c r="H781" s="13">
        <v>814.0</v>
      </c>
      <c r="I781" s="14">
        <v>59273.59</v>
      </c>
      <c r="J781" s="13">
        <v>21511.0</v>
      </c>
      <c r="K781" s="13">
        <v>344176.0</v>
      </c>
      <c r="L781" s="10" t="s">
        <v>17</v>
      </c>
      <c r="M781" s="15">
        <f t="shared" si="1"/>
        <v>0.9029050692</v>
      </c>
      <c r="N781" s="16">
        <v>38.27</v>
      </c>
    </row>
    <row r="782" ht="15.75" customHeight="1">
      <c r="A782" s="9" t="s">
        <v>830</v>
      </c>
      <c r="B782" s="10" t="s">
        <v>62</v>
      </c>
      <c r="C782" s="11">
        <v>45985.0</v>
      </c>
      <c r="D782" s="11">
        <v>46029.0</v>
      </c>
      <c r="E782" s="10" t="s">
        <v>35</v>
      </c>
      <c r="F782" s="12">
        <v>4627.0</v>
      </c>
      <c r="G782" s="13">
        <v>647.0</v>
      </c>
      <c r="H782" s="13">
        <v>108.0</v>
      </c>
      <c r="I782" s="14">
        <v>19174.87</v>
      </c>
      <c r="J782" s="13">
        <v>23022.0</v>
      </c>
      <c r="K782" s="13">
        <v>575550.0</v>
      </c>
      <c r="L782" s="10" t="s">
        <v>17</v>
      </c>
      <c r="M782" s="15">
        <f t="shared" si="1"/>
        <v>3.144125783</v>
      </c>
      <c r="N782" s="16">
        <v>42.84</v>
      </c>
    </row>
    <row r="783" ht="15.75" customHeight="1">
      <c r="A783" s="9" t="s">
        <v>831</v>
      </c>
      <c r="B783" s="10" t="s">
        <v>15</v>
      </c>
      <c r="C783" s="11">
        <v>46189.0</v>
      </c>
      <c r="D783" s="11">
        <v>46202.0</v>
      </c>
      <c r="E783" s="10" t="s">
        <v>16</v>
      </c>
      <c r="F783" s="12">
        <v>11769.0</v>
      </c>
      <c r="G783" s="13">
        <v>2800.0</v>
      </c>
      <c r="H783" s="13">
        <v>466.0</v>
      </c>
      <c r="I783" s="14">
        <v>43883.41</v>
      </c>
      <c r="J783" s="13">
        <v>13787.0</v>
      </c>
      <c r="K783" s="13">
        <v>413610.0</v>
      </c>
      <c r="L783" s="10" t="s">
        <v>17</v>
      </c>
      <c r="M783" s="15">
        <f t="shared" si="1"/>
        <v>2.728728864</v>
      </c>
      <c r="N783" s="16">
        <v>25.26</v>
      </c>
    </row>
    <row r="784" ht="15.75" customHeight="1">
      <c r="A784" s="9" t="s">
        <v>832</v>
      </c>
      <c r="B784" s="10" t="s">
        <v>30</v>
      </c>
      <c r="C784" s="11">
        <v>46118.0</v>
      </c>
      <c r="D784" s="11">
        <v>46153.0</v>
      </c>
      <c r="E784" s="10" t="s">
        <v>26</v>
      </c>
      <c r="F784" s="12">
        <v>7245.0</v>
      </c>
      <c r="G784" s="13">
        <v>779.0</v>
      </c>
      <c r="H784" s="13">
        <v>28.0</v>
      </c>
      <c r="I784" s="14">
        <v>11537.87</v>
      </c>
      <c r="J784" s="13">
        <v>8663.0</v>
      </c>
      <c r="K784" s="13">
        <v>86630.0</v>
      </c>
      <c r="L784" s="10" t="s">
        <v>17</v>
      </c>
      <c r="M784" s="15">
        <f t="shared" si="1"/>
        <v>0.5925286404</v>
      </c>
      <c r="N784" s="16">
        <v>258.75</v>
      </c>
    </row>
    <row r="785" ht="15.75" customHeight="1">
      <c r="A785" s="9" t="s">
        <v>833</v>
      </c>
      <c r="B785" s="10" t="s">
        <v>47</v>
      </c>
      <c r="C785" s="11">
        <v>45873.0</v>
      </c>
      <c r="D785" s="11">
        <v>45929.0</v>
      </c>
      <c r="E785" s="10" t="s">
        <v>16</v>
      </c>
      <c r="F785" s="12">
        <v>34851.0</v>
      </c>
      <c r="G785" s="13">
        <v>4320.0</v>
      </c>
      <c r="H785" s="13">
        <v>409.0</v>
      </c>
      <c r="I785" s="14">
        <v>95258.08</v>
      </c>
      <c r="J785" s="13">
        <v>51842.0</v>
      </c>
      <c r="K785" s="13">
        <v>1296050.0</v>
      </c>
      <c r="L785" s="10" t="s">
        <v>17</v>
      </c>
      <c r="M785" s="15">
        <f t="shared" si="1"/>
        <v>1.733295458</v>
      </c>
      <c r="N785" s="16">
        <v>85.21</v>
      </c>
    </row>
    <row r="786" ht="15.75" customHeight="1">
      <c r="A786" s="9" t="s">
        <v>834</v>
      </c>
      <c r="B786" s="10" t="s">
        <v>38</v>
      </c>
      <c r="C786" s="11">
        <v>46199.0</v>
      </c>
      <c r="D786" s="11">
        <v>46252.0</v>
      </c>
      <c r="E786" s="10" t="s">
        <v>26</v>
      </c>
      <c r="F786" s="12">
        <v>20603.0</v>
      </c>
      <c r="G786" s="13">
        <v>1429.0</v>
      </c>
      <c r="H786" s="13">
        <v>37.0</v>
      </c>
      <c r="I786" s="14">
        <v>8073.57</v>
      </c>
      <c r="J786" s="13">
        <v>30074.0</v>
      </c>
      <c r="K786" s="13">
        <v>721776.0</v>
      </c>
      <c r="L786" s="10" t="s">
        <v>17</v>
      </c>
      <c r="M786" s="15">
        <f t="shared" si="1"/>
        <v>-0.6081361938</v>
      </c>
      <c r="N786" s="16">
        <v>556.84</v>
      </c>
    </row>
    <row r="787" ht="15.75" customHeight="1">
      <c r="A787" s="9" t="s">
        <v>835</v>
      </c>
      <c r="B787" s="10" t="s">
        <v>56</v>
      </c>
      <c r="C787" s="11">
        <v>46129.0</v>
      </c>
      <c r="D787" s="11">
        <v>46169.0</v>
      </c>
      <c r="E787" s="10" t="s">
        <v>35</v>
      </c>
      <c r="F787" s="12">
        <v>4286.0</v>
      </c>
      <c r="G787" s="13">
        <v>260.0</v>
      </c>
      <c r="H787" s="13">
        <v>77.0</v>
      </c>
      <c r="I787" s="14">
        <v>16607.91</v>
      </c>
      <c r="J787" s="13">
        <v>12805.0</v>
      </c>
      <c r="K787" s="13">
        <v>384150.0</v>
      </c>
      <c r="L787" s="10" t="s">
        <v>17</v>
      </c>
      <c r="M787" s="15">
        <f t="shared" si="1"/>
        <v>2.874920672</v>
      </c>
      <c r="N787" s="16">
        <v>55.66</v>
      </c>
    </row>
    <row r="788" ht="15.75" customHeight="1">
      <c r="A788" s="9" t="s">
        <v>836</v>
      </c>
      <c r="B788" s="10" t="s">
        <v>15</v>
      </c>
      <c r="C788" s="11">
        <v>45968.0</v>
      </c>
      <c r="D788" s="11">
        <v>45995.0</v>
      </c>
      <c r="E788" s="10" t="s">
        <v>35</v>
      </c>
      <c r="F788" s="12">
        <v>2705.0</v>
      </c>
      <c r="G788" s="13">
        <v>172.0</v>
      </c>
      <c r="H788" s="13">
        <v>18.0</v>
      </c>
      <c r="I788" s="14">
        <v>2908.26</v>
      </c>
      <c r="J788" s="13">
        <v>14916.0</v>
      </c>
      <c r="K788" s="13">
        <v>372900.0</v>
      </c>
      <c r="L788" s="10" t="s">
        <v>17</v>
      </c>
      <c r="M788" s="15">
        <f t="shared" si="1"/>
        <v>0.07514232902</v>
      </c>
      <c r="N788" s="16">
        <v>150.28</v>
      </c>
    </row>
    <row r="789" ht="15.75" customHeight="1">
      <c r="A789" s="9" t="s">
        <v>837</v>
      </c>
      <c r="B789" s="10" t="s">
        <v>15</v>
      </c>
      <c r="C789" s="11">
        <v>45891.0</v>
      </c>
      <c r="D789" s="11">
        <v>45903.0</v>
      </c>
      <c r="E789" s="10" t="s">
        <v>26</v>
      </c>
      <c r="F789" s="12">
        <v>6193.0</v>
      </c>
      <c r="G789" s="13">
        <v>516.0</v>
      </c>
      <c r="H789" s="13">
        <v>40.0</v>
      </c>
      <c r="I789" s="14">
        <v>5022.89</v>
      </c>
      <c r="J789" s="13">
        <v>8901.0</v>
      </c>
      <c r="K789" s="13">
        <v>213624.0</v>
      </c>
      <c r="L789" s="10" t="s">
        <v>17</v>
      </c>
      <c r="M789" s="15">
        <f t="shared" si="1"/>
        <v>-0.1889407395</v>
      </c>
      <c r="N789" s="16">
        <v>154.83</v>
      </c>
    </row>
    <row r="790" ht="15.75" customHeight="1">
      <c r="A790" s="9" t="s">
        <v>838</v>
      </c>
      <c r="B790" s="10" t="s">
        <v>62</v>
      </c>
      <c r="C790" s="11">
        <v>45901.0</v>
      </c>
      <c r="D790" s="11">
        <v>45906.0</v>
      </c>
      <c r="E790" s="10" t="s">
        <v>26</v>
      </c>
      <c r="F790" s="12">
        <v>6332.0</v>
      </c>
      <c r="G790" s="13">
        <v>347.0</v>
      </c>
      <c r="H790" s="13">
        <v>7.0</v>
      </c>
      <c r="I790" s="14">
        <v>4369.68</v>
      </c>
      <c r="J790" s="13">
        <v>14456.0</v>
      </c>
      <c r="K790" s="13">
        <v>346944.0</v>
      </c>
      <c r="L790" s="10" t="s">
        <v>17</v>
      </c>
      <c r="M790" s="15">
        <f t="shared" si="1"/>
        <v>-0.3099052432</v>
      </c>
      <c r="N790" s="16">
        <v>904.57</v>
      </c>
    </row>
    <row r="791" ht="15.75" customHeight="1">
      <c r="A791" s="9" t="s">
        <v>839</v>
      </c>
      <c r="B791" s="10" t="s">
        <v>28</v>
      </c>
      <c r="C791" s="11">
        <v>46036.0</v>
      </c>
      <c r="D791" s="11">
        <v>46046.0</v>
      </c>
      <c r="E791" s="10" t="s">
        <v>16</v>
      </c>
      <c r="F791" s="12">
        <v>7734.0</v>
      </c>
      <c r="G791" s="13">
        <v>1100.0</v>
      </c>
      <c r="H791" s="13">
        <v>133.0</v>
      </c>
      <c r="I791" s="14">
        <v>7883.74</v>
      </c>
      <c r="J791" s="13">
        <v>5868.0</v>
      </c>
      <c r="K791" s="13">
        <v>88020.0</v>
      </c>
      <c r="L791" s="10" t="s">
        <v>17</v>
      </c>
      <c r="M791" s="15">
        <f t="shared" si="1"/>
        <v>0.01936126196</v>
      </c>
      <c r="N791" s="16">
        <v>58.15</v>
      </c>
    </row>
    <row r="792" ht="15.75" customHeight="1">
      <c r="A792" s="9" t="s">
        <v>840</v>
      </c>
      <c r="B792" s="10" t="s">
        <v>52</v>
      </c>
      <c r="C792" s="11">
        <v>45981.0</v>
      </c>
      <c r="D792" s="11">
        <v>46005.0</v>
      </c>
      <c r="E792" s="10" t="s">
        <v>35</v>
      </c>
      <c r="F792" s="12">
        <v>3906.0</v>
      </c>
      <c r="G792" s="13">
        <v>905.0</v>
      </c>
      <c r="H792" s="13">
        <v>169.0</v>
      </c>
      <c r="I792" s="14">
        <v>27643.95</v>
      </c>
      <c r="J792" s="13">
        <v>22182.0</v>
      </c>
      <c r="K792" s="13">
        <v>177456.0</v>
      </c>
      <c r="L792" s="10" t="s">
        <v>17</v>
      </c>
      <c r="M792" s="15">
        <f t="shared" si="1"/>
        <v>6.077304147</v>
      </c>
      <c r="N792" s="16">
        <v>23.11</v>
      </c>
    </row>
    <row r="793" ht="15.75" customHeight="1">
      <c r="A793" s="9" t="s">
        <v>841</v>
      </c>
      <c r="B793" s="10" t="s">
        <v>15</v>
      </c>
      <c r="C793" s="11">
        <v>46199.0</v>
      </c>
      <c r="D793" s="11">
        <v>46255.0</v>
      </c>
      <c r="E793" s="10" t="s">
        <v>35</v>
      </c>
      <c r="F793" s="12">
        <v>2641.0</v>
      </c>
      <c r="G793" s="13">
        <v>236.0</v>
      </c>
      <c r="H793" s="13">
        <v>70.0</v>
      </c>
      <c r="I793" s="14">
        <v>7026.8</v>
      </c>
      <c r="J793" s="13">
        <v>17541.0</v>
      </c>
      <c r="K793" s="13">
        <v>157869.0</v>
      </c>
      <c r="L793" s="10" t="s">
        <v>17</v>
      </c>
      <c r="M793" s="15">
        <f t="shared" si="1"/>
        <v>1.660658841</v>
      </c>
      <c r="N793" s="16">
        <v>37.73</v>
      </c>
    </row>
    <row r="794" ht="15.75" customHeight="1">
      <c r="A794" s="9" t="s">
        <v>842</v>
      </c>
      <c r="B794" s="10" t="s">
        <v>52</v>
      </c>
      <c r="C794" s="11">
        <v>46109.0</v>
      </c>
      <c r="D794" s="11">
        <v>46155.0</v>
      </c>
      <c r="E794" s="10" t="s">
        <v>26</v>
      </c>
      <c r="F794" s="12">
        <v>24140.0</v>
      </c>
      <c r="G794" s="13">
        <v>4676.0</v>
      </c>
      <c r="H794" s="13">
        <v>273.0</v>
      </c>
      <c r="I794" s="14">
        <v>15589.73</v>
      </c>
      <c r="J794" s="13">
        <v>31393.0</v>
      </c>
      <c r="K794" s="13">
        <v>627860.0</v>
      </c>
      <c r="L794" s="10" t="s">
        <v>17</v>
      </c>
      <c r="M794" s="15">
        <f t="shared" si="1"/>
        <v>-0.3541951118</v>
      </c>
      <c r="N794" s="16">
        <v>88.42</v>
      </c>
    </row>
    <row r="795" ht="15.75" customHeight="1">
      <c r="A795" s="9" t="s">
        <v>843</v>
      </c>
      <c r="B795" s="10" t="s">
        <v>56</v>
      </c>
      <c r="C795" s="11">
        <v>46198.0</v>
      </c>
      <c r="D795" s="11">
        <v>46249.0</v>
      </c>
      <c r="E795" s="10" t="s">
        <v>26</v>
      </c>
      <c r="F795" s="12">
        <v>14247.0</v>
      </c>
      <c r="G795" s="13">
        <v>1153.0</v>
      </c>
      <c r="H795" s="13">
        <v>54.0</v>
      </c>
      <c r="I795" s="14">
        <v>8610.48</v>
      </c>
      <c r="J795" s="13">
        <v>16225.0</v>
      </c>
      <c r="K795" s="13">
        <v>421850.0</v>
      </c>
      <c r="L795" s="10" t="s">
        <v>17</v>
      </c>
      <c r="M795" s="15">
        <f t="shared" si="1"/>
        <v>-0.3956285534</v>
      </c>
      <c r="N795" s="16">
        <v>263.83</v>
      </c>
    </row>
    <row r="796" ht="15.75" customHeight="1">
      <c r="A796" s="9" t="s">
        <v>844</v>
      </c>
      <c r="B796" s="10" t="s">
        <v>52</v>
      </c>
      <c r="C796" s="11">
        <v>46100.0</v>
      </c>
      <c r="D796" s="11">
        <v>46123.0</v>
      </c>
      <c r="E796" s="10" t="s">
        <v>26</v>
      </c>
      <c r="F796" s="12">
        <v>6359.0</v>
      </c>
      <c r="G796" s="13">
        <v>415.0</v>
      </c>
      <c r="H796" s="13">
        <v>19.0</v>
      </c>
      <c r="I796" s="14">
        <v>2785.08</v>
      </c>
      <c r="J796" s="13">
        <v>11075.0</v>
      </c>
      <c r="K796" s="13">
        <v>321175.0</v>
      </c>
      <c r="L796" s="10" t="s">
        <v>17</v>
      </c>
      <c r="M796" s="15">
        <f t="shared" si="1"/>
        <v>-0.5620254757</v>
      </c>
      <c r="N796" s="16">
        <v>334.68</v>
      </c>
    </row>
    <row r="797" ht="15.75" customHeight="1">
      <c r="A797" s="9" t="s">
        <v>845</v>
      </c>
      <c r="B797" s="10" t="s">
        <v>52</v>
      </c>
      <c r="C797" s="11">
        <v>46142.0</v>
      </c>
      <c r="D797" s="11">
        <v>46170.0</v>
      </c>
      <c r="E797" s="10" t="s">
        <v>16</v>
      </c>
      <c r="F797" s="12">
        <v>16028.0</v>
      </c>
      <c r="G797" s="13">
        <v>2562.0</v>
      </c>
      <c r="H797" s="13">
        <v>273.0</v>
      </c>
      <c r="I797" s="14">
        <v>54778.91</v>
      </c>
      <c r="J797" s="13">
        <v>23674.0</v>
      </c>
      <c r="K797" s="13">
        <v>378784.0</v>
      </c>
      <c r="L797" s="10" t="s">
        <v>17</v>
      </c>
      <c r="M797" s="15">
        <f t="shared" si="1"/>
        <v>2.417700898</v>
      </c>
      <c r="N797" s="16">
        <v>58.71</v>
      </c>
    </row>
    <row r="798" ht="15.75" customHeight="1">
      <c r="A798" s="9" t="s">
        <v>846</v>
      </c>
      <c r="B798" s="10" t="s">
        <v>52</v>
      </c>
      <c r="C798" s="11">
        <v>46016.0</v>
      </c>
      <c r="D798" s="11">
        <v>46062.0</v>
      </c>
      <c r="E798" s="10" t="s">
        <v>35</v>
      </c>
      <c r="F798" s="12">
        <v>3205.0</v>
      </c>
      <c r="G798" s="13">
        <v>678.0</v>
      </c>
      <c r="H798" s="13">
        <v>118.0</v>
      </c>
      <c r="I798" s="14">
        <v>7699.51</v>
      </c>
      <c r="J798" s="13">
        <v>7255.0</v>
      </c>
      <c r="K798" s="13">
        <v>58040.0</v>
      </c>
      <c r="L798" s="10" t="s">
        <v>17</v>
      </c>
      <c r="M798" s="15">
        <f t="shared" si="1"/>
        <v>1.402343214</v>
      </c>
      <c r="N798" s="16">
        <v>27.16</v>
      </c>
    </row>
    <row r="799" ht="15.75" customHeight="1">
      <c r="A799" s="9" t="s">
        <v>847</v>
      </c>
      <c r="B799" s="10" t="s">
        <v>30</v>
      </c>
      <c r="C799" s="11">
        <v>45951.0</v>
      </c>
      <c r="D799" s="11">
        <v>45999.0</v>
      </c>
      <c r="E799" s="10" t="s">
        <v>16</v>
      </c>
      <c r="F799" s="12">
        <v>29424.0</v>
      </c>
      <c r="G799" s="13">
        <v>2592.0</v>
      </c>
      <c r="H799" s="13">
        <v>267.0</v>
      </c>
      <c r="I799" s="14">
        <v>20060.38</v>
      </c>
      <c r="J799" s="13">
        <v>20283.0</v>
      </c>
      <c r="K799" s="13">
        <v>507075.0</v>
      </c>
      <c r="L799" s="10" t="s">
        <v>17</v>
      </c>
      <c r="M799" s="15">
        <f t="shared" si="1"/>
        <v>-0.318230696</v>
      </c>
      <c r="N799" s="16">
        <v>110.2</v>
      </c>
    </row>
    <row r="800" ht="15.75" customHeight="1">
      <c r="A800" s="9" t="s">
        <v>848</v>
      </c>
      <c r="B800" s="10" t="s">
        <v>56</v>
      </c>
      <c r="C800" s="11">
        <v>45884.0</v>
      </c>
      <c r="D800" s="11">
        <v>45918.0</v>
      </c>
      <c r="E800" s="10" t="s">
        <v>26</v>
      </c>
      <c r="F800" s="12">
        <v>19544.0</v>
      </c>
      <c r="G800" s="13">
        <v>1593.0</v>
      </c>
      <c r="H800" s="13">
        <v>94.0</v>
      </c>
      <c r="I800" s="14">
        <v>6581.53</v>
      </c>
      <c r="J800" s="13">
        <v>23062.0</v>
      </c>
      <c r="K800" s="13">
        <v>576550.0</v>
      </c>
      <c r="L800" s="10" t="s">
        <v>17</v>
      </c>
      <c r="M800" s="15">
        <f t="shared" si="1"/>
        <v>-0.6632454973</v>
      </c>
      <c r="N800" s="16">
        <v>207.91</v>
      </c>
    </row>
    <row r="801" ht="15.75" customHeight="1">
      <c r="A801" s="9" t="s">
        <v>849</v>
      </c>
      <c r="B801" s="10" t="s">
        <v>28</v>
      </c>
      <c r="C801" s="11">
        <v>46018.0</v>
      </c>
      <c r="D801" s="11">
        <v>46056.0</v>
      </c>
      <c r="E801" s="10" t="s">
        <v>26</v>
      </c>
      <c r="F801" s="12">
        <v>23520.0</v>
      </c>
      <c r="G801" s="13">
        <v>4304.0</v>
      </c>
      <c r="H801" s="13">
        <v>266.0</v>
      </c>
      <c r="I801" s="14">
        <v>44332.53</v>
      </c>
      <c r="J801" s="13">
        <v>27057.0</v>
      </c>
      <c r="K801" s="13">
        <v>784653.0</v>
      </c>
      <c r="L801" s="10" t="s">
        <v>17</v>
      </c>
      <c r="M801" s="15">
        <f t="shared" si="1"/>
        <v>0.8848864796</v>
      </c>
      <c r="N801" s="16">
        <v>88.42</v>
      </c>
    </row>
    <row r="802" ht="15.75" customHeight="1">
      <c r="A802" s="9" t="s">
        <v>850</v>
      </c>
      <c r="B802" s="10" t="s">
        <v>58</v>
      </c>
      <c r="C802" s="11">
        <v>46143.0</v>
      </c>
      <c r="D802" s="11">
        <v>46162.0</v>
      </c>
      <c r="E802" s="10" t="s">
        <v>26</v>
      </c>
      <c r="F802" s="12">
        <v>11643.0</v>
      </c>
      <c r="G802" s="13">
        <v>1096.0</v>
      </c>
      <c r="H802" s="13">
        <v>84.0</v>
      </c>
      <c r="I802" s="14">
        <v>16552.31</v>
      </c>
      <c r="J802" s="13">
        <v>15327.0</v>
      </c>
      <c r="K802" s="13">
        <v>260559.0</v>
      </c>
      <c r="L802" s="10" t="s">
        <v>17</v>
      </c>
      <c r="M802" s="15">
        <f t="shared" si="1"/>
        <v>0.4216533539</v>
      </c>
      <c r="N802" s="16">
        <v>138.61</v>
      </c>
    </row>
    <row r="803" ht="15.75" customHeight="1">
      <c r="A803" s="9" t="s">
        <v>851</v>
      </c>
      <c r="B803" s="10" t="s">
        <v>15</v>
      </c>
      <c r="C803" s="11">
        <v>45857.0</v>
      </c>
      <c r="D803" s="11">
        <v>45876.0</v>
      </c>
      <c r="E803" s="10" t="s">
        <v>35</v>
      </c>
      <c r="F803" s="12">
        <v>3522.0</v>
      </c>
      <c r="G803" s="13">
        <v>271.0</v>
      </c>
      <c r="H803" s="13">
        <v>29.0</v>
      </c>
      <c r="I803" s="14">
        <v>4086.07</v>
      </c>
      <c r="J803" s="13">
        <v>12895.0</v>
      </c>
      <c r="K803" s="13">
        <v>245005.0</v>
      </c>
      <c r="L803" s="10" t="s">
        <v>17</v>
      </c>
      <c r="M803" s="15">
        <f t="shared" si="1"/>
        <v>0.1601561613</v>
      </c>
      <c r="N803" s="16">
        <v>121.45</v>
      </c>
    </row>
    <row r="804" ht="15.75" customHeight="1">
      <c r="A804" s="9" t="s">
        <v>852</v>
      </c>
      <c r="B804" s="10" t="s">
        <v>19</v>
      </c>
      <c r="C804" s="11">
        <v>45916.0</v>
      </c>
      <c r="D804" s="11">
        <v>45945.0</v>
      </c>
      <c r="E804" s="10" t="s">
        <v>26</v>
      </c>
      <c r="F804" s="12">
        <v>19865.0</v>
      </c>
      <c r="G804" s="13">
        <v>1010.0</v>
      </c>
      <c r="H804" s="13">
        <v>23.0</v>
      </c>
      <c r="I804" s="14">
        <v>3019.59</v>
      </c>
      <c r="J804" s="13">
        <v>24307.0</v>
      </c>
      <c r="K804" s="13">
        <v>388912.0</v>
      </c>
      <c r="L804" s="10" t="s">
        <v>17</v>
      </c>
      <c r="M804" s="15">
        <f t="shared" si="1"/>
        <v>-0.8479944626</v>
      </c>
      <c r="N804" s="16">
        <v>863.7</v>
      </c>
    </row>
    <row r="805" ht="15.75" customHeight="1">
      <c r="A805" s="9" t="s">
        <v>853</v>
      </c>
      <c r="B805" s="10" t="s">
        <v>62</v>
      </c>
      <c r="C805" s="11">
        <v>46156.0</v>
      </c>
      <c r="D805" s="11">
        <v>46180.0</v>
      </c>
      <c r="E805" s="10" t="s">
        <v>26</v>
      </c>
      <c r="F805" s="12">
        <v>14048.0</v>
      </c>
      <c r="G805" s="13">
        <v>2144.0</v>
      </c>
      <c r="H805" s="13">
        <v>53.0</v>
      </c>
      <c r="I805" s="14">
        <v>2568.97</v>
      </c>
      <c r="J805" s="13">
        <v>16026.0</v>
      </c>
      <c r="K805" s="13">
        <v>144234.0</v>
      </c>
      <c r="L805" s="10" t="s">
        <v>17</v>
      </c>
      <c r="M805" s="15">
        <f t="shared" si="1"/>
        <v>-0.8171291287</v>
      </c>
      <c r="N805" s="16">
        <v>265.06</v>
      </c>
    </row>
    <row r="806" ht="15.75" customHeight="1">
      <c r="A806" s="9" t="s">
        <v>854</v>
      </c>
      <c r="B806" s="10" t="s">
        <v>52</v>
      </c>
      <c r="C806" s="11">
        <v>46066.0</v>
      </c>
      <c r="D806" s="11">
        <v>46112.0</v>
      </c>
      <c r="E806" s="10" t="s">
        <v>35</v>
      </c>
      <c r="F806" s="12">
        <v>3987.0</v>
      </c>
      <c r="G806" s="13">
        <v>595.0</v>
      </c>
      <c r="H806" s="13">
        <v>65.0</v>
      </c>
      <c r="I806" s="14">
        <v>3546.3</v>
      </c>
      <c r="J806" s="13">
        <v>10069.0</v>
      </c>
      <c r="K806" s="13">
        <v>302070.0</v>
      </c>
      <c r="L806" s="10" t="s">
        <v>17</v>
      </c>
      <c r="M806" s="15">
        <f t="shared" si="1"/>
        <v>-0.1105342363</v>
      </c>
      <c r="N806" s="16">
        <v>61.34</v>
      </c>
    </row>
    <row r="807" ht="15.75" customHeight="1">
      <c r="A807" s="9" t="s">
        <v>855</v>
      </c>
      <c r="B807" s="10" t="s">
        <v>15</v>
      </c>
      <c r="C807" s="11">
        <v>45869.0</v>
      </c>
      <c r="D807" s="11">
        <v>45898.0</v>
      </c>
      <c r="E807" s="10" t="s">
        <v>26</v>
      </c>
      <c r="F807" s="12">
        <v>18454.0</v>
      </c>
      <c r="G807" s="13">
        <v>1289.0</v>
      </c>
      <c r="H807" s="13">
        <v>69.0</v>
      </c>
      <c r="I807" s="14">
        <v>7851.65</v>
      </c>
      <c r="J807" s="13">
        <v>28541.0</v>
      </c>
      <c r="K807" s="13">
        <v>856230.0</v>
      </c>
      <c r="L807" s="10" t="s">
        <v>17</v>
      </c>
      <c r="M807" s="15">
        <f t="shared" si="1"/>
        <v>-0.5745285575</v>
      </c>
      <c r="N807" s="16">
        <v>267.45</v>
      </c>
    </row>
    <row r="808" ht="15.75" customHeight="1">
      <c r="A808" s="9" t="s">
        <v>856</v>
      </c>
      <c r="B808" s="10" t="s">
        <v>30</v>
      </c>
      <c r="C808" s="11">
        <v>46040.0</v>
      </c>
      <c r="D808" s="11">
        <v>46074.0</v>
      </c>
      <c r="E808" s="10" t="s">
        <v>26</v>
      </c>
      <c r="F808" s="12">
        <v>17523.0</v>
      </c>
      <c r="G808" s="13">
        <v>2689.0</v>
      </c>
      <c r="H808" s="13">
        <v>114.0</v>
      </c>
      <c r="I808" s="14">
        <v>10910.26</v>
      </c>
      <c r="J808" s="13">
        <v>21664.0</v>
      </c>
      <c r="K808" s="13">
        <v>433280.0</v>
      </c>
      <c r="L808" s="10" t="s">
        <v>17</v>
      </c>
      <c r="M808" s="15">
        <f t="shared" si="1"/>
        <v>-0.3773748787</v>
      </c>
      <c r="N808" s="16">
        <v>153.71</v>
      </c>
    </row>
    <row r="809" ht="15.75" customHeight="1">
      <c r="A809" s="9" t="s">
        <v>857</v>
      </c>
      <c r="B809" s="10" t="s">
        <v>38</v>
      </c>
      <c r="C809" s="11">
        <v>46114.0</v>
      </c>
      <c r="D809" s="11">
        <v>46133.0</v>
      </c>
      <c r="E809" s="10" t="s">
        <v>26</v>
      </c>
      <c r="F809" s="12">
        <v>8521.0</v>
      </c>
      <c r="G809" s="13">
        <v>584.0</v>
      </c>
      <c r="H809" s="13">
        <v>32.0</v>
      </c>
      <c r="I809" s="14">
        <v>5060.7</v>
      </c>
      <c r="J809" s="13">
        <v>12593.0</v>
      </c>
      <c r="K809" s="13">
        <v>100744.0</v>
      </c>
      <c r="L809" s="10" t="s">
        <v>17</v>
      </c>
      <c r="M809" s="15">
        <f t="shared" si="1"/>
        <v>-0.4060908344</v>
      </c>
      <c r="N809" s="16">
        <v>266.28</v>
      </c>
    </row>
    <row r="810" ht="15.75" customHeight="1">
      <c r="A810" s="9" t="s">
        <v>858</v>
      </c>
      <c r="B810" s="10" t="s">
        <v>28</v>
      </c>
      <c r="C810" s="11">
        <v>45862.0</v>
      </c>
      <c r="D810" s="11">
        <v>45887.0</v>
      </c>
      <c r="E810" s="10" t="s">
        <v>35</v>
      </c>
      <c r="F810" s="12">
        <v>2801.0</v>
      </c>
      <c r="G810" s="13">
        <v>221.0</v>
      </c>
      <c r="H810" s="13">
        <v>22.0</v>
      </c>
      <c r="I810" s="14">
        <v>4534.88</v>
      </c>
      <c r="J810" s="13">
        <v>6708.0</v>
      </c>
      <c r="K810" s="13">
        <v>134160.0</v>
      </c>
      <c r="L810" s="10" t="s">
        <v>17</v>
      </c>
      <c r="M810" s="15">
        <f t="shared" si="1"/>
        <v>0.6190217779</v>
      </c>
      <c r="N810" s="16">
        <v>127.32</v>
      </c>
    </row>
    <row r="811" ht="15.75" customHeight="1">
      <c r="A811" s="9" t="s">
        <v>859</v>
      </c>
      <c r="B811" s="10" t="s">
        <v>15</v>
      </c>
      <c r="C811" s="11">
        <v>46186.0</v>
      </c>
      <c r="D811" s="11">
        <v>46210.0</v>
      </c>
      <c r="E811" s="10" t="s">
        <v>26</v>
      </c>
      <c r="F811" s="12">
        <v>17459.0</v>
      </c>
      <c r="G811" s="13">
        <v>1342.0</v>
      </c>
      <c r="H811" s="13">
        <v>53.0</v>
      </c>
      <c r="I811" s="14">
        <v>9877.78</v>
      </c>
      <c r="J811" s="13">
        <v>21140.0</v>
      </c>
      <c r="K811" s="13">
        <v>549640.0</v>
      </c>
      <c r="L811" s="10" t="s">
        <v>17</v>
      </c>
      <c r="M811" s="15">
        <f t="shared" si="1"/>
        <v>-0.4342299101</v>
      </c>
      <c r="N811" s="16">
        <v>329.42</v>
      </c>
    </row>
    <row r="812" ht="15.75" customHeight="1">
      <c r="A812" s="9" t="s">
        <v>860</v>
      </c>
      <c r="B812" s="10" t="s">
        <v>19</v>
      </c>
      <c r="C812" s="11">
        <v>45903.0</v>
      </c>
      <c r="D812" s="11">
        <v>45906.0</v>
      </c>
      <c r="E812" s="10" t="s">
        <v>35</v>
      </c>
      <c r="F812" s="12">
        <v>4444.0</v>
      </c>
      <c r="G812" s="13">
        <v>254.0</v>
      </c>
      <c r="H812" s="13">
        <v>31.0</v>
      </c>
      <c r="I812" s="14">
        <v>1077.77</v>
      </c>
      <c r="J812" s="13">
        <v>10325.0</v>
      </c>
      <c r="K812" s="13">
        <v>278775.0</v>
      </c>
      <c r="L812" s="10" t="s">
        <v>17</v>
      </c>
      <c r="M812" s="15">
        <f t="shared" si="1"/>
        <v>-0.7574774977</v>
      </c>
      <c r="N812" s="16">
        <v>143.35</v>
      </c>
    </row>
    <row r="813" ht="15.75" customHeight="1">
      <c r="A813" s="9" t="s">
        <v>861</v>
      </c>
      <c r="B813" s="10" t="s">
        <v>56</v>
      </c>
      <c r="C813" s="11">
        <v>46106.0</v>
      </c>
      <c r="D813" s="11">
        <v>46145.0</v>
      </c>
      <c r="E813" s="10" t="s">
        <v>35</v>
      </c>
      <c r="F813" s="12">
        <v>4804.0</v>
      </c>
      <c r="G813" s="13">
        <v>368.0</v>
      </c>
      <c r="H813" s="13">
        <v>89.0</v>
      </c>
      <c r="I813" s="14">
        <v>11742.16</v>
      </c>
      <c r="J813" s="13">
        <v>12310.0</v>
      </c>
      <c r="K813" s="13">
        <v>123100.0</v>
      </c>
      <c r="L813" s="10" t="s">
        <v>17</v>
      </c>
      <c r="M813" s="15">
        <f t="shared" si="1"/>
        <v>1.444246461</v>
      </c>
      <c r="N813" s="16">
        <v>53.98</v>
      </c>
    </row>
    <row r="814" ht="15.75" customHeight="1">
      <c r="A814" s="9" t="s">
        <v>862</v>
      </c>
      <c r="B814" s="10" t="s">
        <v>25</v>
      </c>
      <c r="C814" s="11">
        <v>46079.0</v>
      </c>
      <c r="D814" s="11">
        <v>46092.0</v>
      </c>
      <c r="E814" s="10" t="s">
        <v>35</v>
      </c>
      <c r="F814" s="12">
        <v>1571.0</v>
      </c>
      <c r="G814" s="13">
        <v>102.0</v>
      </c>
      <c r="H814" s="13">
        <v>17.0</v>
      </c>
      <c r="I814" s="14">
        <v>3248.56</v>
      </c>
      <c r="J814" s="13">
        <v>4748.0</v>
      </c>
      <c r="K814" s="13">
        <v>66472.0</v>
      </c>
      <c r="L814" s="10" t="s">
        <v>17</v>
      </c>
      <c r="M814" s="15">
        <f t="shared" si="1"/>
        <v>1.067829408</v>
      </c>
      <c r="N814" s="16">
        <v>92.41</v>
      </c>
    </row>
    <row r="815" ht="15.75" customHeight="1">
      <c r="A815" s="9" t="s">
        <v>863</v>
      </c>
      <c r="B815" s="10" t="s">
        <v>19</v>
      </c>
      <c r="C815" s="11">
        <v>46136.0</v>
      </c>
      <c r="D815" s="11">
        <v>46169.0</v>
      </c>
      <c r="E815" s="10" t="s">
        <v>16</v>
      </c>
      <c r="F815" s="12">
        <v>18296.0</v>
      </c>
      <c r="G815" s="13">
        <v>943.0</v>
      </c>
      <c r="H815" s="13">
        <v>946.0</v>
      </c>
      <c r="I815" s="14">
        <v>12792.74</v>
      </c>
      <c r="J815" s="13">
        <v>23573.0</v>
      </c>
      <c r="K815" s="13">
        <v>306449.0</v>
      </c>
      <c r="L815" s="10" t="s">
        <v>17</v>
      </c>
      <c r="M815" s="15">
        <f t="shared" si="1"/>
        <v>-0.3007903367</v>
      </c>
      <c r="N815" s="16">
        <v>19.34</v>
      </c>
    </row>
    <row r="816" ht="15.75" customHeight="1">
      <c r="A816" s="9" t="s">
        <v>864</v>
      </c>
      <c r="B816" s="10" t="s">
        <v>47</v>
      </c>
      <c r="C816" s="11">
        <v>45956.0</v>
      </c>
      <c r="D816" s="11">
        <v>45967.0</v>
      </c>
      <c r="E816" s="10" t="s">
        <v>26</v>
      </c>
      <c r="F816" s="12">
        <v>24208.0</v>
      </c>
      <c r="G816" s="13">
        <v>4467.0</v>
      </c>
      <c r="H816" s="13">
        <v>342.0</v>
      </c>
      <c r="I816" s="14">
        <v>37225.87</v>
      </c>
      <c r="J816" s="13">
        <v>72155.0</v>
      </c>
      <c r="K816" s="13">
        <v>793705.0</v>
      </c>
      <c r="L816" s="10" t="s">
        <v>17</v>
      </c>
      <c r="M816" s="15">
        <f t="shared" si="1"/>
        <v>0.5377507436</v>
      </c>
      <c r="N816" s="16">
        <v>70.78</v>
      </c>
    </row>
    <row r="817" ht="15.75" customHeight="1">
      <c r="A817" s="9" t="s">
        <v>865</v>
      </c>
      <c r="B817" s="10" t="s">
        <v>25</v>
      </c>
      <c r="C817" s="11">
        <v>45939.0</v>
      </c>
      <c r="D817" s="11">
        <v>45986.0</v>
      </c>
      <c r="E817" s="10" t="s">
        <v>16</v>
      </c>
      <c r="F817" s="12">
        <v>7668.0</v>
      </c>
      <c r="G817" s="13">
        <v>486.0</v>
      </c>
      <c r="H817" s="13">
        <v>66.0</v>
      </c>
      <c r="I817" s="14">
        <v>4752.62</v>
      </c>
      <c r="J817" s="13">
        <v>6205.0</v>
      </c>
      <c r="K817" s="13">
        <v>74460.0</v>
      </c>
      <c r="L817" s="10" t="s">
        <v>17</v>
      </c>
      <c r="M817" s="15">
        <f t="shared" si="1"/>
        <v>-0.3802008346</v>
      </c>
      <c r="N817" s="16">
        <v>116.18</v>
      </c>
    </row>
    <row r="818" ht="15.75" customHeight="1">
      <c r="A818" s="9" t="s">
        <v>866</v>
      </c>
      <c r="B818" s="10" t="s">
        <v>47</v>
      </c>
      <c r="C818" s="11">
        <v>45891.0</v>
      </c>
      <c r="D818" s="11">
        <v>45909.0</v>
      </c>
      <c r="E818" s="10" t="s">
        <v>35</v>
      </c>
      <c r="F818" s="12">
        <v>3855.0</v>
      </c>
      <c r="G818" s="13">
        <v>234.0</v>
      </c>
      <c r="H818" s="13">
        <v>56.0</v>
      </c>
      <c r="I818" s="14">
        <v>13459.01</v>
      </c>
      <c r="J818" s="13">
        <v>23434.0</v>
      </c>
      <c r="K818" s="13">
        <v>679586.0</v>
      </c>
      <c r="L818" s="10" t="s">
        <v>17</v>
      </c>
      <c r="M818" s="15">
        <f t="shared" si="1"/>
        <v>2.491312581</v>
      </c>
      <c r="N818" s="16">
        <v>68.84</v>
      </c>
    </row>
    <row r="819" ht="15.75" customHeight="1">
      <c r="A819" s="9" t="s">
        <v>867</v>
      </c>
      <c r="B819" s="10" t="s">
        <v>47</v>
      </c>
      <c r="C819" s="11">
        <v>46064.0</v>
      </c>
      <c r="D819" s="11">
        <v>46096.0</v>
      </c>
      <c r="E819" s="10" t="s">
        <v>26</v>
      </c>
      <c r="F819" s="12">
        <v>17560.0</v>
      </c>
      <c r="G819" s="13">
        <v>3172.0</v>
      </c>
      <c r="H819" s="13">
        <v>131.0</v>
      </c>
      <c r="I819" s="14">
        <v>15086.01</v>
      </c>
      <c r="J819" s="13">
        <v>20858.0</v>
      </c>
      <c r="K819" s="13">
        <v>604882.0</v>
      </c>
      <c r="L819" s="10" t="s">
        <v>17</v>
      </c>
      <c r="M819" s="15">
        <f t="shared" si="1"/>
        <v>-0.1408878132</v>
      </c>
      <c r="N819" s="16">
        <v>134.05</v>
      </c>
    </row>
    <row r="820" ht="15.75" customHeight="1">
      <c r="A820" s="9" t="s">
        <v>868</v>
      </c>
      <c r="B820" s="10" t="s">
        <v>52</v>
      </c>
      <c r="C820" s="11">
        <v>45920.0</v>
      </c>
      <c r="D820" s="11">
        <v>45960.0</v>
      </c>
      <c r="E820" s="10" t="s">
        <v>26</v>
      </c>
      <c r="F820" s="12">
        <v>19896.0</v>
      </c>
      <c r="G820" s="13">
        <v>4454.0</v>
      </c>
      <c r="H820" s="13">
        <v>147.0</v>
      </c>
      <c r="I820" s="14">
        <v>15023.35</v>
      </c>
      <c r="J820" s="13">
        <v>22962.0</v>
      </c>
      <c r="K820" s="13">
        <v>275544.0</v>
      </c>
      <c r="L820" s="10" t="s">
        <v>17</v>
      </c>
      <c r="M820" s="15">
        <f t="shared" si="1"/>
        <v>-0.2449060113</v>
      </c>
      <c r="N820" s="16">
        <v>135.35</v>
      </c>
    </row>
    <row r="821" ht="15.75" customHeight="1">
      <c r="A821" s="9" t="s">
        <v>869</v>
      </c>
      <c r="B821" s="10" t="s">
        <v>47</v>
      </c>
      <c r="C821" s="11">
        <v>45846.0</v>
      </c>
      <c r="D821" s="11">
        <v>45881.0</v>
      </c>
      <c r="E821" s="10" t="s">
        <v>16</v>
      </c>
      <c r="F821" s="12">
        <v>10661.0</v>
      </c>
      <c r="G821" s="13">
        <v>1077.0</v>
      </c>
      <c r="H821" s="13">
        <v>105.0</v>
      </c>
      <c r="I821" s="14">
        <v>22241.28</v>
      </c>
      <c r="J821" s="13">
        <v>10084.0</v>
      </c>
      <c r="K821" s="13">
        <v>201680.0</v>
      </c>
      <c r="L821" s="10" t="s">
        <v>17</v>
      </c>
      <c r="M821" s="15">
        <f t="shared" si="1"/>
        <v>1.086228309</v>
      </c>
      <c r="N821" s="16">
        <v>101.53</v>
      </c>
    </row>
    <row r="822" ht="15.75" customHeight="1">
      <c r="A822" s="9" t="s">
        <v>870</v>
      </c>
      <c r="B822" s="10" t="s">
        <v>30</v>
      </c>
      <c r="C822" s="11">
        <v>46040.0</v>
      </c>
      <c r="D822" s="11">
        <v>46066.0</v>
      </c>
      <c r="E822" s="10" t="s">
        <v>16</v>
      </c>
      <c r="F822" s="12">
        <v>30702.0</v>
      </c>
      <c r="G822" s="13">
        <v>1865.0</v>
      </c>
      <c r="H822" s="13">
        <v>107.0</v>
      </c>
      <c r="I822" s="14">
        <v>12665.3</v>
      </c>
      <c r="J822" s="13">
        <v>28395.0</v>
      </c>
      <c r="K822" s="13">
        <v>397530.0</v>
      </c>
      <c r="L822" s="10" t="s">
        <v>17</v>
      </c>
      <c r="M822" s="15">
        <f t="shared" si="1"/>
        <v>-0.5874763859</v>
      </c>
      <c r="N822" s="16">
        <v>286.93</v>
      </c>
    </row>
    <row r="823" ht="15.75" customHeight="1">
      <c r="A823" s="9" t="s">
        <v>871</v>
      </c>
      <c r="B823" s="10" t="s">
        <v>62</v>
      </c>
      <c r="C823" s="11">
        <v>46031.0</v>
      </c>
      <c r="D823" s="11">
        <v>46044.0</v>
      </c>
      <c r="E823" s="10" t="s">
        <v>16</v>
      </c>
      <c r="F823" s="12">
        <v>36728.0</v>
      </c>
      <c r="G823" s="13">
        <v>3613.0</v>
      </c>
      <c r="H823" s="13">
        <v>269.0</v>
      </c>
      <c r="I823" s="14">
        <v>36071.62</v>
      </c>
      <c r="J823" s="13">
        <v>27276.0</v>
      </c>
      <c r="K823" s="13">
        <v>791004.0</v>
      </c>
      <c r="L823" s="10" t="s">
        <v>17</v>
      </c>
      <c r="M823" s="15">
        <f t="shared" si="1"/>
        <v>-0.01787137878</v>
      </c>
      <c r="N823" s="16">
        <v>136.54</v>
      </c>
    </row>
    <row r="824" ht="15.75" customHeight="1">
      <c r="A824" s="9" t="s">
        <v>872</v>
      </c>
      <c r="B824" s="10" t="s">
        <v>62</v>
      </c>
      <c r="C824" s="11">
        <v>46003.0</v>
      </c>
      <c r="D824" s="11">
        <v>46023.0</v>
      </c>
      <c r="E824" s="10" t="s">
        <v>16</v>
      </c>
      <c r="F824" s="12">
        <v>51138.0</v>
      </c>
      <c r="G824" s="13">
        <v>2905.0</v>
      </c>
      <c r="H824" s="13">
        <v>202.0</v>
      </c>
      <c r="I824" s="14">
        <v>35945.39</v>
      </c>
      <c r="J824" s="13">
        <v>43367.0</v>
      </c>
      <c r="K824" s="13">
        <v>1170909.0</v>
      </c>
      <c r="L824" s="10" t="s">
        <v>17</v>
      </c>
      <c r="M824" s="15">
        <f t="shared" si="1"/>
        <v>-0.297090422</v>
      </c>
      <c r="N824" s="16">
        <v>253.16</v>
      </c>
    </row>
    <row r="825" ht="15.75" customHeight="1">
      <c r="A825" s="9" t="s">
        <v>873</v>
      </c>
      <c r="B825" s="10" t="s">
        <v>75</v>
      </c>
      <c r="C825" s="11">
        <v>45998.0</v>
      </c>
      <c r="D825" s="11">
        <v>46053.0</v>
      </c>
      <c r="E825" s="10" t="s">
        <v>26</v>
      </c>
      <c r="F825" s="12">
        <v>5273.0</v>
      </c>
      <c r="G825" s="13">
        <v>522.0</v>
      </c>
      <c r="H825" s="13">
        <v>31.0</v>
      </c>
      <c r="I825" s="14">
        <v>2694.75</v>
      </c>
      <c r="J825" s="13">
        <v>8206.0</v>
      </c>
      <c r="K825" s="13">
        <v>139502.0</v>
      </c>
      <c r="L825" s="10" t="s">
        <v>17</v>
      </c>
      <c r="M825" s="15">
        <f t="shared" si="1"/>
        <v>-0.4889531576</v>
      </c>
      <c r="N825" s="16">
        <v>170.1</v>
      </c>
    </row>
    <row r="826" ht="15.75" customHeight="1">
      <c r="A826" s="9" t="s">
        <v>874</v>
      </c>
      <c r="B826" s="10" t="s">
        <v>30</v>
      </c>
      <c r="C826" s="11">
        <v>46025.0</v>
      </c>
      <c r="D826" s="11">
        <v>46062.0</v>
      </c>
      <c r="E826" s="10" t="s">
        <v>35</v>
      </c>
      <c r="F826" s="12">
        <v>2732.0</v>
      </c>
      <c r="G826" s="13">
        <v>377.0</v>
      </c>
      <c r="H826" s="13">
        <v>54.0</v>
      </c>
      <c r="I826" s="14">
        <v>11076.81</v>
      </c>
      <c r="J826" s="13">
        <v>11323.0</v>
      </c>
      <c r="K826" s="13">
        <v>271752.0</v>
      </c>
      <c r="L826" s="10" t="s">
        <v>17</v>
      </c>
      <c r="M826" s="15">
        <f t="shared" si="1"/>
        <v>3.054469253</v>
      </c>
      <c r="N826" s="16">
        <v>50.59</v>
      </c>
    </row>
    <row r="827" ht="15.75" customHeight="1">
      <c r="A827" s="9" t="s">
        <v>875</v>
      </c>
      <c r="B827" s="10" t="s">
        <v>38</v>
      </c>
      <c r="C827" s="11">
        <v>46078.0</v>
      </c>
      <c r="D827" s="11">
        <v>46130.0</v>
      </c>
      <c r="E827" s="10" t="s">
        <v>26</v>
      </c>
      <c r="F827" s="12">
        <v>15292.0</v>
      </c>
      <c r="G827" s="13">
        <v>1843.0</v>
      </c>
      <c r="H827" s="13">
        <v>138.0</v>
      </c>
      <c r="I827" s="14">
        <v>14238.45</v>
      </c>
      <c r="J827" s="13">
        <v>23960.0</v>
      </c>
      <c r="K827" s="13">
        <v>670880.0</v>
      </c>
      <c r="L827" s="10" t="s">
        <v>17</v>
      </c>
      <c r="M827" s="15">
        <f t="shared" si="1"/>
        <v>-0.06889550092</v>
      </c>
      <c r="N827" s="16">
        <v>110.81</v>
      </c>
    </row>
    <row r="828" ht="15.75" customHeight="1">
      <c r="A828" s="9" t="s">
        <v>876</v>
      </c>
      <c r="B828" s="10" t="s">
        <v>75</v>
      </c>
      <c r="C828" s="11">
        <v>46080.0</v>
      </c>
      <c r="D828" s="11">
        <v>46137.0</v>
      </c>
      <c r="E828" s="10" t="s">
        <v>26</v>
      </c>
      <c r="F828" s="12">
        <v>11375.0</v>
      </c>
      <c r="G828" s="13">
        <v>841.0</v>
      </c>
      <c r="H828" s="13">
        <v>36.0</v>
      </c>
      <c r="I828" s="14">
        <v>2099.67</v>
      </c>
      <c r="J828" s="13">
        <v>13246.0</v>
      </c>
      <c r="K828" s="13">
        <v>251674.0</v>
      </c>
      <c r="L828" s="10" t="s">
        <v>17</v>
      </c>
      <c r="M828" s="15">
        <f t="shared" si="1"/>
        <v>-0.8154136264</v>
      </c>
      <c r="N828" s="16">
        <v>315.97</v>
      </c>
    </row>
    <row r="829" ht="15.75" customHeight="1">
      <c r="A829" s="9" t="s">
        <v>877</v>
      </c>
      <c r="B829" s="10" t="s">
        <v>47</v>
      </c>
      <c r="C829" s="11">
        <v>45961.0</v>
      </c>
      <c r="D829" s="11">
        <v>45964.0</v>
      </c>
      <c r="E829" s="10" t="s">
        <v>26</v>
      </c>
      <c r="F829" s="12">
        <v>17350.0</v>
      </c>
      <c r="G829" s="13">
        <v>2214.0</v>
      </c>
      <c r="H829" s="13">
        <v>159.0</v>
      </c>
      <c r="I829" s="14">
        <v>29645.49</v>
      </c>
      <c r="J829" s="13">
        <v>37254.0</v>
      </c>
      <c r="K829" s="13">
        <v>335286.0</v>
      </c>
      <c r="L829" s="10" t="s">
        <v>17</v>
      </c>
      <c r="M829" s="15">
        <f t="shared" si="1"/>
        <v>0.7086737752</v>
      </c>
      <c r="N829" s="16">
        <v>109.12</v>
      </c>
    </row>
    <row r="830" ht="15.75" customHeight="1">
      <c r="A830" s="9" t="s">
        <v>878</v>
      </c>
      <c r="B830" s="10" t="s">
        <v>58</v>
      </c>
      <c r="C830" s="11">
        <v>45919.0</v>
      </c>
      <c r="D830" s="11">
        <v>45948.0</v>
      </c>
      <c r="E830" s="10" t="s">
        <v>26</v>
      </c>
      <c r="F830" s="12">
        <v>6312.0</v>
      </c>
      <c r="G830" s="13">
        <v>705.0</v>
      </c>
      <c r="H830" s="13">
        <v>26.0</v>
      </c>
      <c r="I830" s="14">
        <v>3897.94</v>
      </c>
      <c r="J830" s="13">
        <v>12880.0</v>
      </c>
      <c r="K830" s="13">
        <v>373520.0</v>
      </c>
      <c r="L830" s="10" t="s">
        <v>17</v>
      </c>
      <c r="M830" s="15">
        <f t="shared" si="1"/>
        <v>-0.3824556401</v>
      </c>
      <c r="N830" s="16">
        <v>242.77</v>
      </c>
    </row>
    <row r="831" ht="15.75" customHeight="1">
      <c r="A831" s="9" t="s">
        <v>879</v>
      </c>
      <c r="B831" s="10" t="s">
        <v>25</v>
      </c>
      <c r="C831" s="11">
        <v>46110.0</v>
      </c>
      <c r="D831" s="11">
        <v>46165.0</v>
      </c>
      <c r="E831" s="10" t="s">
        <v>26</v>
      </c>
      <c r="F831" s="12">
        <v>14174.0</v>
      </c>
      <c r="G831" s="13">
        <v>2392.0</v>
      </c>
      <c r="H831" s="13">
        <v>179.0</v>
      </c>
      <c r="I831" s="14">
        <v>20159.49</v>
      </c>
      <c r="J831" s="13">
        <v>36791.0</v>
      </c>
      <c r="K831" s="13">
        <v>699029.0</v>
      </c>
      <c r="L831" s="10" t="s">
        <v>17</v>
      </c>
      <c r="M831" s="15">
        <f t="shared" si="1"/>
        <v>0.4222865811</v>
      </c>
      <c r="N831" s="16">
        <v>79.18</v>
      </c>
    </row>
    <row r="832" ht="15.75" customHeight="1">
      <c r="A832" s="9" t="s">
        <v>880</v>
      </c>
      <c r="B832" s="10" t="s">
        <v>58</v>
      </c>
      <c r="C832" s="11">
        <v>46097.0</v>
      </c>
      <c r="D832" s="11">
        <v>46151.0</v>
      </c>
      <c r="E832" s="10" t="s">
        <v>16</v>
      </c>
      <c r="F832" s="12">
        <v>37189.0</v>
      </c>
      <c r="G832" s="13">
        <v>2581.0</v>
      </c>
      <c r="H832" s="13">
        <v>216.0</v>
      </c>
      <c r="I832" s="14">
        <v>31012.88</v>
      </c>
      <c r="J832" s="13">
        <v>27667.0</v>
      </c>
      <c r="K832" s="13">
        <v>802343.0</v>
      </c>
      <c r="L832" s="10" t="s">
        <v>17</v>
      </c>
      <c r="M832" s="15">
        <f t="shared" si="1"/>
        <v>-0.166073839</v>
      </c>
      <c r="N832" s="16">
        <v>172.17</v>
      </c>
    </row>
    <row r="833" ht="15.75" customHeight="1">
      <c r="A833" s="9" t="s">
        <v>881</v>
      </c>
      <c r="B833" s="10" t="s">
        <v>19</v>
      </c>
      <c r="C833" s="11">
        <v>45952.0</v>
      </c>
      <c r="D833" s="11">
        <v>46012.0</v>
      </c>
      <c r="E833" s="10" t="s">
        <v>35</v>
      </c>
      <c r="F833" s="12">
        <v>4443.0</v>
      </c>
      <c r="G833" s="13">
        <v>408.0</v>
      </c>
      <c r="H833" s="13">
        <v>78.0</v>
      </c>
      <c r="I833" s="14">
        <v>32113.5</v>
      </c>
      <c r="J833" s="13">
        <v>22642.0</v>
      </c>
      <c r="K833" s="13">
        <v>633976.0</v>
      </c>
      <c r="L833" s="10" t="s">
        <v>17</v>
      </c>
      <c r="M833" s="15">
        <f t="shared" si="1"/>
        <v>6.227886563</v>
      </c>
      <c r="N833" s="16">
        <v>56.96</v>
      </c>
    </row>
    <row r="834" ht="15.75" customHeight="1">
      <c r="A834" s="9" t="s">
        <v>882</v>
      </c>
      <c r="B834" s="10" t="s">
        <v>28</v>
      </c>
      <c r="C834" s="11">
        <v>46027.0</v>
      </c>
      <c r="D834" s="11">
        <v>46050.0</v>
      </c>
      <c r="E834" s="10" t="s">
        <v>26</v>
      </c>
      <c r="F834" s="12">
        <v>23768.0</v>
      </c>
      <c r="G834" s="13">
        <v>5187.0</v>
      </c>
      <c r="H834" s="13">
        <v>265.0</v>
      </c>
      <c r="I834" s="14">
        <v>54542.26</v>
      </c>
      <c r="J834" s="13">
        <v>26692.0</v>
      </c>
      <c r="K834" s="13">
        <v>587224.0</v>
      </c>
      <c r="L834" s="10" t="s">
        <v>17</v>
      </c>
      <c r="M834" s="15">
        <f t="shared" si="1"/>
        <v>1.294777011</v>
      </c>
      <c r="N834" s="16">
        <v>89.69</v>
      </c>
    </row>
    <row r="835" ht="15.75" customHeight="1">
      <c r="A835" s="9" t="s">
        <v>883</v>
      </c>
      <c r="B835" s="10" t="s">
        <v>25</v>
      </c>
      <c r="C835" s="11">
        <v>46039.0</v>
      </c>
      <c r="D835" s="11">
        <v>46053.0</v>
      </c>
      <c r="E835" s="10" t="s">
        <v>26</v>
      </c>
      <c r="F835" s="12">
        <v>3377.0</v>
      </c>
      <c r="G835" s="13">
        <v>216.0</v>
      </c>
      <c r="H835" s="13">
        <v>12.0</v>
      </c>
      <c r="I835" s="14">
        <v>2536.97</v>
      </c>
      <c r="J835" s="13">
        <v>8198.0</v>
      </c>
      <c r="K835" s="13">
        <v>237742.0</v>
      </c>
      <c r="L835" s="10" t="s">
        <v>17</v>
      </c>
      <c r="M835" s="15">
        <f t="shared" si="1"/>
        <v>-0.2487503702</v>
      </c>
      <c r="N835" s="16">
        <v>281.42</v>
      </c>
    </row>
    <row r="836" ht="15.75" customHeight="1">
      <c r="A836" s="9" t="s">
        <v>884</v>
      </c>
      <c r="B836" s="10" t="s">
        <v>38</v>
      </c>
      <c r="C836" s="11">
        <v>46065.0</v>
      </c>
      <c r="D836" s="11">
        <v>46082.0</v>
      </c>
      <c r="E836" s="10" t="s">
        <v>16</v>
      </c>
      <c r="F836" s="12">
        <v>52830.0</v>
      </c>
      <c r="G836" s="13">
        <v>3869.0</v>
      </c>
      <c r="H836" s="13">
        <v>503.0</v>
      </c>
      <c r="I836" s="14">
        <v>16589.51</v>
      </c>
      <c r="J836" s="13">
        <v>37908.0</v>
      </c>
      <c r="K836" s="13">
        <v>568620.0</v>
      </c>
      <c r="L836" s="10" t="s">
        <v>17</v>
      </c>
      <c r="M836" s="15">
        <f t="shared" si="1"/>
        <v>-0.6859831535</v>
      </c>
      <c r="N836" s="16">
        <v>105.03</v>
      </c>
    </row>
    <row r="837" ht="15.75" customHeight="1">
      <c r="A837" s="9" t="s">
        <v>885</v>
      </c>
      <c r="B837" s="10" t="s">
        <v>28</v>
      </c>
      <c r="C837" s="11">
        <v>46018.0</v>
      </c>
      <c r="D837" s="11">
        <v>46023.0</v>
      </c>
      <c r="E837" s="10" t="s">
        <v>26</v>
      </c>
      <c r="F837" s="12">
        <v>17885.0</v>
      </c>
      <c r="G837" s="13">
        <v>1395.0</v>
      </c>
      <c r="H837" s="13">
        <v>61.0</v>
      </c>
      <c r="I837" s="14">
        <v>7759.59</v>
      </c>
      <c r="J837" s="13">
        <v>21179.0</v>
      </c>
      <c r="K837" s="13">
        <v>275327.0</v>
      </c>
      <c r="L837" s="10" t="s">
        <v>17</v>
      </c>
      <c r="M837" s="15">
        <f t="shared" si="1"/>
        <v>-0.5661397819</v>
      </c>
      <c r="N837" s="16">
        <v>293.2</v>
      </c>
    </row>
    <row r="838" ht="15.75" customHeight="1">
      <c r="A838" s="9" t="s">
        <v>886</v>
      </c>
      <c r="B838" s="10" t="s">
        <v>58</v>
      </c>
      <c r="C838" s="11">
        <v>45918.0</v>
      </c>
      <c r="D838" s="11">
        <v>45946.0</v>
      </c>
      <c r="E838" s="10" t="s">
        <v>16</v>
      </c>
      <c r="F838" s="12">
        <v>13538.0</v>
      </c>
      <c r="G838" s="13">
        <v>788.0</v>
      </c>
      <c r="H838" s="13">
        <v>75.0</v>
      </c>
      <c r="I838" s="14">
        <v>11942.87</v>
      </c>
      <c r="J838" s="13">
        <v>10063.0</v>
      </c>
      <c r="K838" s="13">
        <v>231449.0</v>
      </c>
      <c r="L838" s="10" t="s">
        <v>17</v>
      </c>
      <c r="M838" s="15">
        <f t="shared" si="1"/>
        <v>-0.1178261191</v>
      </c>
      <c r="N838" s="16">
        <v>180.51</v>
      </c>
    </row>
    <row r="839" ht="15.75" customHeight="1">
      <c r="A839" s="9" t="s">
        <v>887</v>
      </c>
      <c r="B839" s="10" t="s">
        <v>28</v>
      </c>
      <c r="C839" s="11">
        <v>46112.0</v>
      </c>
      <c r="D839" s="11">
        <v>46170.0</v>
      </c>
      <c r="E839" s="10" t="s">
        <v>35</v>
      </c>
      <c r="F839" s="12">
        <v>2915.0</v>
      </c>
      <c r="G839" s="13">
        <v>317.0</v>
      </c>
      <c r="H839" s="13">
        <v>81.0</v>
      </c>
      <c r="I839" s="14">
        <v>12886.25</v>
      </c>
      <c r="J839" s="13">
        <v>9182.0</v>
      </c>
      <c r="K839" s="13">
        <v>110184.0</v>
      </c>
      <c r="L839" s="10" t="s">
        <v>17</v>
      </c>
      <c r="M839" s="15">
        <f t="shared" si="1"/>
        <v>3.420668954</v>
      </c>
      <c r="N839" s="16">
        <v>35.99</v>
      </c>
    </row>
    <row r="840" ht="15.75" customHeight="1">
      <c r="A840" s="9" t="s">
        <v>888</v>
      </c>
      <c r="B840" s="10" t="s">
        <v>25</v>
      </c>
      <c r="C840" s="11">
        <v>46150.0</v>
      </c>
      <c r="D840" s="11">
        <v>46171.0</v>
      </c>
      <c r="E840" s="10" t="s">
        <v>16</v>
      </c>
      <c r="F840" s="12">
        <v>23630.0</v>
      </c>
      <c r="G840" s="13">
        <v>1190.0</v>
      </c>
      <c r="H840" s="13">
        <v>213.0</v>
      </c>
      <c r="I840" s="14">
        <v>42516.52</v>
      </c>
      <c r="J840" s="13">
        <v>27927.0</v>
      </c>
      <c r="K840" s="13">
        <v>363051.0</v>
      </c>
      <c r="L840" s="10" t="s">
        <v>17</v>
      </c>
      <c r="M840" s="15">
        <f t="shared" si="1"/>
        <v>0.7992602624</v>
      </c>
      <c r="N840" s="16">
        <v>110.94</v>
      </c>
    </row>
    <row r="841" ht="15.75" customHeight="1">
      <c r="A841" s="9" t="s">
        <v>889</v>
      </c>
      <c r="B841" s="10" t="s">
        <v>56</v>
      </c>
      <c r="C841" s="11">
        <v>46155.0</v>
      </c>
      <c r="D841" s="11">
        <v>46179.0</v>
      </c>
      <c r="E841" s="10" t="s">
        <v>35</v>
      </c>
      <c r="F841" s="12">
        <v>2529.0</v>
      </c>
      <c r="G841" s="13">
        <v>247.0</v>
      </c>
      <c r="H841" s="13">
        <v>43.0</v>
      </c>
      <c r="I841" s="14">
        <v>8557.03</v>
      </c>
      <c r="J841" s="13">
        <v>15120.0</v>
      </c>
      <c r="K841" s="13">
        <v>166320.0</v>
      </c>
      <c r="L841" s="10" t="s">
        <v>17</v>
      </c>
      <c r="M841" s="15">
        <f t="shared" si="1"/>
        <v>2.383562673</v>
      </c>
      <c r="N841" s="16">
        <v>58.81</v>
      </c>
    </row>
    <row r="842" ht="15.75" customHeight="1">
      <c r="A842" s="9" t="s">
        <v>890</v>
      </c>
      <c r="B842" s="10" t="s">
        <v>30</v>
      </c>
      <c r="C842" s="11">
        <v>45959.0</v>
      </c>
      <c r="D842" s="11">
        <v>45962.0</v>
      </c>
      <c r="E842" s="10" t="s">
        <v>26</v>
      </c>
      <c r="F842" s="12">
        <v>18411.0</v>
      </c>
      <c r="G842" s="13">
        <v>1422.0</v>
      </c>
      <c r="H842" s="13">
        <v>85.0</v>
      </c>
      <c r="I842" s="14">
        <v>17587.54</v>
      </c>
      <c r="J842" s="13">
        <v>42085.0</v>
      </c>
      <c r="K842" s="13">
        <v>841700.0</v>
      </c>
      <c r="L842" s="10" t="s">
        <v>17</v>
      </c>
      <c r="M842" s="15">
        <f t="shared" si="1"/>
        <v>-0.04472652219</v>
      </c>
      <c r="N842" s="16">
        <v>216.6</v>
      </c>
    </row>
    <row r="843" ht="15.75" customHeight="1">
      <c r="A843" s="9" t="s">
        <v>891</v>
      </c>
      <c r="B843" s="10" t="s">
        <v>58</v>
      </c>
      <c r="C843" s="11">
        <v>45956.0</v>
      </c>
      <c r="D843" s="11">
        <v>45995.0</v>
      </c>
      <c r="E843" s="10" t="s">
        <v>35</v>
      </c>
      <c r="F843" s="12">
        <v>4679.0</v>
      </c>
      <c r="G843" s="13">
        <v>518.0</v>
      </c>
      <c r="H843" s="13">
        <v>119.0</v>
      </c>
      <c r="I843" s="14">
        <v>11253.24</v>
      </c>
      <c r="J843" s="13">
        <v>16409.0</v>
      </c>
      <c r="K843" s="13">
        <v>459452.0</v>
      </c>
      <c r="L843" s="10" t="s">
        <v>17</v>
      </c>
      <c r="M843" s="15">
        <f t="shared" si="1"/>
        <v>1.405052362</v>
      </c>
      <c r="N843" s="16">
        <v>39.32</v>
      </c>
    </row>
    <row r="844" ht="15.75" customHeight="1">
      <c r="A844" s="9" t="s">
        <v>892</v>
      </c>
      <c r="B844" s="10" t="s">
        <v>28</v>
      </c>
      <c r="C844" s="11">
        <v>45878.0</v>
      </c>
      <c r="D844" s="11">
        <v>45917.0</v>
      </c>
      <c r="E844" s="10" t="s">
        <v>26</v>
      </c>
      <c r="F844" s="12">
        <v>24560.0</v>
      </c>
      <c r="G844" s="13">
        <v>5751.0</v>
      </c>
      <c r="H844" s="13">
        <v>233.0</v>
      </c>
      <c r="I844" s="14">
        <v>43001.05</v>
      </c>
      <c r="J844" s="13">
        <v>44096.0</v>
      </c>
      <c r="K844" s="13">
        <v>1102400.0</v>
      </c>
      <c r="L844" s="10" t="s">
        <v>17</v>
      </c>
      <c r="M844" s="15">
        <f t="shared" si="1"/>
        <v>0.7508570847</v>
      </c>
      <c r="N844" s="16">
        <v>105.41</v>
      </c>
    </row>
    <row r="845" ht="15.75" customHeight="1">
      <c r="A845" s="9" t="s">
        <v>893</v>
      </c>
      <c r="B845" s="10" t="s">
        <v>47</v>
      </c>
      <c r="C845" s="11">
        <v>45848.0</v>
      </c>
      <c r="D845" s="11">
        <v>45867.0</v>
      </c>
      <c r="E845" s="10" t="s">
        <v>35</v>
      </c>
      <c r="F845" s="12">
        <v>2182.0</v>
      </c>
      <c r="G845" s="13">
        <v>514.0</v>
      </c>
      <c r="H845" s="13">
        <v>96.0</v>
      </c>
      <c r="I845" s="14">
        <v>15540.5</v>
      </c>
      <c r="J845" s="13">
        <v>10622.0</v>
      </c>
      <c r="K845" s="13">
        <v>148708.0</v>
      </c>
      <c r="L845" s="10" t="s">
        <v>17</v>
      </c>
      <c r="M845" s="15">
        <f t="shared" si="1"/>
        <v>6.122135655</v>
      </c>
      <c r="N845" s="16">
        <v>22.73</v>
      </c>
    </row>
    <row r="846" ht="15.75" customHeight="1">
      <c r="A846" s="9" t="s">
        <v>894</v>
      </c>
      <c r="B846" s="10" t="s">
        <v>28</v>
      </c>
      <c r="C846" s="11">
        <v>46111.0</v>
      </c>
      <c r="D846" s="11">
        <v>46150.0</v>
      </c>
      <c r="E846" s="10" t="s">
        <v>16</v>
      </c>
      <c r="F846" s="12">
        <v>49419.0</v>
      </c>
      <c r="G846" s="13">
        <v>2563.0</v>
      </c>
      <c r="H846" s="13">
        <v>279.0</v>
      </c>
      <c r="I846" s="14">
        <v>31727.21</v>
      </c>
      <c r="J846" s="13">
        <v>92141.0</v>
      </c>
      <c r="K846" s="13">
        <v>1197833.0</v>
      </c>
      <c r="L846" s="10" t="s">
        <v>17</v>
      </c>
      <c r="M846" s="15">
        <f t="shared" si="1"/>
        <v>-0.3579957102</v>
      </c>
      <c r="N846" s="16">
        <v>177.13</v>
      </c>
    </row>
    <row r="847" ht="15.75" customHeight="1">
      <c r="A847" s="9" t="s">
        <v>895</v>
      </c>
      <c r="B847" s="10" t="s">
        <v>62</v>
      </c>
      <c r="C847" s="11">
        <v>46012.0</v>
      </c>
      <c r="D847" s="11">
        <v>46059.0</v>
      </c>
      <c r="E847" s="10" t="s">
        <v>16</v>
      </c>
      <c r="F847" s="12">
        <v>44799.0</v>
      </c>
      <c r="G847" s="13">
        <v>3861.0</v>
      </c>
      <c r="H847" s="13">
        <v>676.0</v>
      </c>
      <c r="I847" s="14">
        <v>91697.45</v>
      </c>
      <c r="J847" s="13">
        <v>43293.0</v>
      </c>
      <c r="K847" s="13">
        <v>1298790.0</v>
      </c>
      <c r="L847" s="10" t="s">
        <v>17</v>
      </c>
      <c r="M847" s="15">
        <f t="shared" si="1"/>
        <v>1.046863769</v>
      </c>
      <c r="N847" s="16">
        <v>66.27</v>
      </c>
    </row>
    <row r="848" ht="15.75" customHeight="1">
      <c r="A848" s="9" t="s">
        <v>896</v>
      </c>
      <c r="B848" s="10" t="s">
        <v>38</v>
      </c>
      <c r="C848" s="11">
        <v>46007.0</v>
      </c>
      <c r="D848" s="11">
        <v>46029.0</v>
      </c>
      <c r="E848" s="10" t="s">
        <v>35</v>
      </c>
      <c r="F848" s="12">
        <v>2343.0</v>
      </c>
      <c r="G848" s="13">
        <v>150.0</v>
      </c>
      <c r="H848" s="13">
        <v>15.0</v>
      </c>
      <c r="I848" s="14">
        <v>2107.06</v>
      </c>
      <c r="J848" s="13">
        <v>7113.0</v>
      </c>
      <c r="K848" s="13">
        <v>135147.0</v>
      </c>
      <c r="L848" s="10" t="s">
        <v>17</v>
      </c>
      <c r="M848" s="15">
        <f t="shared" si="1"/>
        <v>-0.1006999573</v>
      </c>
      <c r="N848" s="16">
        <v>156.2</v>
      </c>
    </row>
    <row r="849" ht="15.75" customHeight="1">
      <c r="A849" s="9" t="s">
        <v>897</v>
      </c>
      <c r="B849" s="10" t="s">
        <v>56</v>
      </c>
      <c r="C849" s="11">
        <v>45983.0</v>
      </c>
      <c r="D849" s="11">
        <v>46022.0</v>
      </c>
      <c r="E849" s="10" t="s">
        <v>26</v>
      </c>
      <c r="F849" s="12">
        <v>23474.0</v>
      </c>
      <c r="G849" s="13">
        <v>2009.0</v>
      </c>
      <c r="H849" s="13">
        <v>95.0</v>
      </c>
      <c r="I849" s="14">
        <v>13882.97</v>
      </c>
      <c r="J849" s="13">
        <v>27519.0</v>
      </c>
      <c r="K849" s="13">
        <v>798051.0</v>
      </c>
      <c r="L849" s="10" t="s">
        <v>17</v>
      </c>
      <c r="M849" s="15">
        <f t="shared" si="1"/>
        <v>-0.4085809832</v>
      </c>
      <c r="N849" s="16">
        <v>247.09</v>
      </c>
    </row>
    <row r="850" ht="15.75" customHeight="1">
      <c r="A850" s="9" t="s">
        <v>898</v>
      </c>
      <c r="B850" s="10" t="s">
        <v>28</v>
      </c>
      <c r="C850" s="11">
        <v>45978.0</v>
      </c>
      <c r="D850" s="11">
        <v>46017.0</v>
      </c>
      <c r="E850" s="10" t="s">
        <v>35</v>
      </c>
      <c r="F850" s="12">
        <v>4294.0</v>
      </c>
      <c r="G850" s="13">
        <v>388.0</v>
      </c>
      <c r="H850" s="13">
        <v>86.0</v>
      </c>
      <c r="I850" s="14">
        <v>5920.99</v>
      </c>
      <c r="J850" s="13">
        <v>8817.0</v>
      </c>
      <c r="K850" s="13">
        <v>123438.0</v>
      </c>
      <c r="L850" s="10" t="s">
        <v>17</v>
      </c>
      <c r="M850" s="15">
        <f t="shared" si="1"/>
        <v>0.378898463</v>
      </c>
      <c r="N850" s="16">
        <v>49.93</v>
      </c>
    </row>
    <row r="851" ht="15.75" customHeight="1">
      <c r="A851" s="9" t="s">
        <v>899</v>
      </c>
      <c r="B851" s="10" t="s">
        <v>30</v>
      </c>
      <c r="C851" s="11">
        <v>46018.0</v>
      </c>
      <c r="D851" s="11">
        <v>46028.0</v>
      </c>
      <c r="E851" s="10" t="s">
        <v>26</v>
      </c>
      <c r="F851" s="12">
        <v>7792.0</v>
      </c>
      <c r="G851" s="13">
        <v>526.0</v>
      </c>
      <c r="H851" s="13">
        <v>27.0</v>
      </c>
      <c r="I851" s="14">
        <v>21286.71</v>
      </c>
      <c r="J851" s="13">
        <v>13490.0</v>
      </c>
      <c r="K851" s="13">
        <v>350740.0</v>
      </c>
      <c r="L851" s="10" t="s">
        <v>17</v>
      </c>
      <c r="M851" s="15">
        <f t="shared" si="1"/>
        <v>1.7318673</v>
      </c>
      <c r="N851" s="16">
        <v>288.59</v>
      </c>
    </row>
    <row r="852" ht="15.75" customHeight="1">
      <c r="A852" s="9" t="s">
        <v>900</v>
      </c>
      <c r="B852" s="10" t="s">
        <v>47</v>
      </c>
      <c r="C852" s="11">
        <v>46061.0</v>
      </c>
      <c r="D852" s="11">
        <v>46079.0</v>
      </c>
      <c r="E852" s="10" t="s">
        <v>16</v>
      </c>
      <c r="F852" s="12">
        <v>26564.0</v>
      </c>
      <c r="G852" s="13">
        <v>1476.0</v>
      </c>
      <c r="H852" s="13">
        <v>260.0</v>
      </c>
      <c r="I852" s="14">
        <v>51472.17</v>
      </c>
      <c r="J852" s="13">
        <v>21188.0</v>
      </c>
      <c r="K852" s="13">
        <v>360196.0</v>
      </c>
      <c r="L852" s="10" t="s">
        <v>17</v>
      </c>
      <c r="M852" s="15">
        <f t="shared" si="1"/>
        <v>0.9376663906</v>
      </c>
      <c r="N852" s="16">
        <v>102.17</v>
      </c>
    </row>
    <row r="853" ht="15.75" customHeight="1">
      <c r="A853" s="9" t="s">
        <v>901</v>
      </c>
      <c r="B853" s="10" t="s">
        <v>19</v>
      </c>
      <c r="C853" s="11">
        <v>46150.0</v>
      </c>
      <c r="D853" s="11">
        <v>46168.0</v>
      </c>
      <c r="E853" s="10" t="s">
        <v>26</v>
      </c>
      <c r="F853" s="12">
        <v>10969.0</v>
      </c>
      <c r="G853" s="13">
        <v>1439.0</v>
      </c>
      <c r="H853" s="13">
        <v>52.0</v>
      </c>
      <c r="I853" s="14">
        <v>11512.9</v>
      </c>
      <c r="J853" s="13">
        <v>19225.0</v>
      </c>
      <c r="K853" s="13">
        <v>480625.0</v>
      </c>
      <c r="L853" s="10" t="s">
        <v>17</v>
      </c>
      <c r="M853" s="15">
        <f t="shared" si="1"/>
        <v>0.04958519464</v>
      </c>
      <c r="N853" s="16">
        <v>210.94</v>
      </c>
    </row>
    <row r="854" ht="15.75" customHeight="1">
      <c r="A854" s="9" t="s">
        <v>902</v>
      </c>
      <c r="B854" s="10" t="s">
        <v>47</v>
      </c>
      <c r="C854" s="11">
        <v>46148.0</v>
      </c>
      <c r="D854" s="11">
        <v>46197.0</v>
      </c>
      <c r="E854" s="10" t="s">
        <v>16</v>
      </c>
      <c r="F854" s="12">
        <v>38262.0</v>
      </c>
      <c r="G854" s="13">
        <v>2896.0</v>
      </c>
      <c r="H854" s="13">
        <v>417.0</v>
      </c>
      <c r="I854" s="14">
        <v>81977.01</v>
      </c>
      <c r="J854" s="13">
        <v>53250.0</v>
      </c>
      <c r="K854" s="13">
        <v>692250.0</v>
      </c>
      <c r="L854" s="10" t="s">
        <v>17</v>
      </c>
      <c r="M854" s="15">
        <f t="shared" si="1"/>
        <v>1.142517642</v>
      </c>
      <c r="N854" s="16">
        <v>91.76</v>
      </c>
    </row>
    <row r="855" ht="15.75" customHeight="1">
      <c r="A855" s="9" t="s">
        <v>903</v>
      </c>
      <c r="B855" s="10" t="s">
        <v>25</v>
      </c>
      <c r="C855" s="11">
        <v>45870.0</v>
      </c>
      <c r="D855" s="11">
        <v>45917.0</v>
      </c>
      <c r="E855" s="10" t="s">
        <v>16</v>
      </c>
      <c r="F855" s="12">
        <v>18359.0</v>
      </c>
      <c r="G855" s="13">
        <v>3911.0</v>
      </c>
      <c r="H855" s="13">
        <v>254.0</v>
      </c>
      <c r="I855" s="14">
        <v>29393.05</v>
      </c>
      <c r="J855" s="13">
        <v>18757.0</v>
      </c>
      <c r="K855" s="13">
        <v>356383.0</v>
      </c>
      <c r="L855" s="10" t="s">
        <v>17</v>
      </c>
      <c r="M855" s="15">
        <f t="shared" si="1"/>
        <v>0.6010158505</v>
      </c>
      <c r="N855" s="16">
        <v>72.28</v>
      </c>
    </row>
    <row r="856" ht="15.75" customHeight="1">
      <c r="A856" s="9" t="s">
        <v>904</v>
      </c>
      <c r="B856" s="10" t="s">
        <v>56</v>
      </c>
      <c r="C856" s="11">
        <v>45844.0</v>
      </c>
      <c r="D856" s="11">
        <v>45849.0</v>
      </c>
      <c r="E856" s="10" t="s">
        <v>26</v>
      </c>
      <c r="F856" s="12">
        <v>12388.0</v>
      </c>
      <c r="G856" s="13">
        <v>1396.0</v>
      </c>
      <c r="H856" s="13">
        <v>51.0</v>
      </c>
      <c r="I856" s="14">
        <v>9550.64</v>
      </c>
      <c r="J856" s="13">
        <v>22133.0</v>
      </c>
      <c r="K856" s="13">
        <v>420527.0</v>
      </c>
      <c r="L856" s="10" t="s">
        <v>17</v>
      </c>
      <c r="M856" s="15">
        <f t="shared" si="1"/>
        <v>-0.2290410074</v>
      </c>
      <c r="N856" s="16">
        <v>242.9</v>
      </c>
    </row>
    <row r="857" ht="15.75" customHeight="1">
      <c r="A857" s="9" t="s">
        <v>905</v>
      </c>
      <c r="B857" s="10" t="s">
        <v>30</v>
      </c>
      <c r="C857" s="11">
        <v>46040.0</v>
      </c>
      <c r="D857" s="11">
        <v>46098.0</v>
      </c>
      <c r="E857" s="10" t="s">
        <v>26</v>
      </c>
      <c r="F857" s="12">
        <v>14173.0</v>
      </c>
      <c r="G857" s="13">
        <v>2011.0</v>
      </c>
      <c r="H857" s="13">
        <v>104.0</v>
      </c>
      <c r="I857" s="14">
        <v>15970.26</v>
      </c>
      <c r="J857" s="13">
        <v>21574.0</v>
      </c>
      <c r="K857" s="13">
        <v>215740.0</v>
      </c>
      <c r="L857" s="10" t="s">
        <v>17</v>
      </c>
      <c r="M857" s="15">
        <f t="shared" si="1"/>
        <v>0.1268087208</v>
      </c>
      <c r="N857" s="16">
        <v>136.28</v>
      </c>
    </row>
    <row r="858" ht="15.75" customHeight="1">
      <c r="A858" s="9" t="s">
        <v>906</v>
      </c>
      <c r="B858" s="10" t="s">
        <v>58</v>
      </c>
      <c r="C858" s="11">
        <v>46121.0</v>
      </c>
      <c r="D858" s="11">
        <v>46143.0</v>
      </c>
      <c r="E858" s="10" t="s">
        <v>35</v>
      </c>
      <c r="F858" s="12">
        <v>2349.0</v>
      </c>
      <c r="G858" s="13">
        <v>230.0</v>
      </c>
      <c r="H858" s="13">
        <v>34.0</v>
      </c>
      <c r="I858" s="14">
        <v>1938.37</v>
      </c>
      <c r="J858" s="13">
        <v>8879.0</v>
      </c>
      <c r="K858" s="13">
        <v>115427.0</v>
      </c>
      <c r="L858" s="10" t="s">
        <v>17</v>
      </c>
      <c r="M858" s="15">
        <f t="shared" si="1"/>
        <v>-0.1748105577</v>
      </c>
      <c r="N858" s="16">
        <v>69.09</v>
      </c>
    </row>
    <row r="859" ht="15.75" customHeight="1">
      <c r="A859" s="9" t="s">
        <v>907</v>
      </c>
      <c r="B859" s="10" t="s">
        <v>19</v>
      </c>
      <c r="C859" s="11">
        <v>45966.0</v>
      </c>
      <c r="D859" s="11">
        <v>45981.0</v>
      </c>
      <c r="E859" s="10" t="s">
        <v>26</v>
      </c>
      <c r="F859" s="12">
        <v>12658.0</v>
      </c>
      <c r="G859" s="13">
        <v>1204.0</v>
      </c>
      <c r="H859" s="13">
        <v>57.0</v>
      </c>
      <c r="I859" s="14">
        <v>7910.46</v>
      </c>
      <c r="J859" s="13">
        <v>30883.0</v>
      </c>
      <c r="K859" s="13">
        <v>926490.0</v>
      </c>
      <c r="L859" s="10" t="s">
        <v>17</v>
      </c>
      <c r="M859" s="15">
        <f t="shared" si="1"/>
        <v>-0.3750624111</v>
      </c>
      <c r="N859" s="16">
        <v>222.07</v>
      </c>
    </row>
    <row r="860" ht="15.75" customHeight="1">
      <c r="A860" s="9" t="s">
        <v>908</v>
      </c>
      <c r="B860" s="10" t="s">
        <v>56</v>
      </c>
      <c r="C860" s="11">
        <v>45855.0</v>
      </c>
      <c r="D860" s="11">
        <v>45893.0</v>
      </c>
      <c r="E860" s="10" t="s">
        <v>35</v>
      </c>
      <c r="F860" s="12">
        <v>3370.0</v>
      </c>
      <c r="G860" s="13">
        <v>257.0</v>
      </c>
      <c r="H860" s="13">
        <v>62.0</v>
      </c>
      <c r="I860" s="14">
        <v>6373.41</v>
      </c>
      <c r="J860" s="13">
        <v>7262.0</v>
      </c>
      <c r="K860" s="13">
        <v>210598.0</v>
      </c>
      <c r="L860" s="10" t="s">
        <v>17</v>
      </c>
      <c r="M860" s="15">
        <f t="shared" si="1"/>
        <v>0.8912195846</v>
      </c>
      <c r="N860" s="16">
        <v>54.35</v>
      </c>
    </row>
    <row r="861" ht="15.75" customHeight="1">
      <c r="A861" s="9" t="s">
        <v>909</v>
      </c>
      <c r="B861" s="10" t="s">
        <v>75</v>
      </c>
      <c r="C861" s="11">
        <v>45858.0</v>
      </c>
      <c r="D861" s="11">
        <v>45880.0</v>
      </c>
      <c r="E861" s="10" t="s">
        <v>26</v>
      </c>
      <c r="F861" s="12">
        <v>9310.0</v>
      </c>
      <c r="G861" s="13">
        <v>1216.0</v>
      </c>
      <c r="H861" s="13">
        <v>85.0</v>
      </c>
      <c r="I861" s="14">
        <v>17210.2</v>
      </c>
      <c r="J861" s="13">
        <v>27785.0</v>
      </c>
      <c r="K861" s="13">
        <v>444560.0</v>
      </c>
      <c r="L861" s="10" t="s">
        <v>17</v>
      </c>
      <c r="M861" s="15">
        <f t="shared" si="1"/>
        <v>0.8485714286</v>
      </c>
      <c r="N861" s="16">
        <v>109.53</v>
      </c>
    </row>
    <row r="862" ht="15.75" customHeight="1">
      <c r="A862" s="9" t="s">
        <v>910</v>
      </c>
      <c r="B862" s="10" t="s">
        <v>56</v>
      </c>
      <c r="C862" s="11">
        <v>45920.0</v>
      </c>
      <c r="D862" s="11">
        <v>45935.0</v>
      </c>
      <c r="E862" s="10" t="s">
        <v>35</v>
      </c>
      <c r="F862" s="12">
        <v>2446.0</v>
      </c>
      <c r="G862" s="13">
        <v>174.0</v>
      </c>
      <c r="H862" s="13">
        <v>22.0</v>
      </c>
      <c r="I862" s="14">
        <v>1729.91</v>
      </c>
      <c r="J862" s="13">
        <v>4912.0</v>
      </c>
      <c r="K862" s="13">
        <v>39296.0</v>
      </c>
      <c r="L862" s="10" t="s">
        <v>17</v>
      </c>
      <c r="M862" s="15">
        <f t="shared" si="1"/>
        <v>-0.2927596075</v>
      </c>
      <c r="N862" s="16">
        <v>111.18</v>
      </c>
    </row>
    <row r="863" ht="15.75" customHeight="1">
      <c r="A863" s="9" t="s">
        <v>911</v>
      </c>
      <c r="B863" s="10" t="s">
        <v>62</v>
      </c>
      <c r="C863" s="11">
        <v>46193.0</v>
      </c>
      <c r="D863" s="11">
        <v>46203.0</v>
      </c>
      <c r="E863" s="10" t="s">
        <v>16</v>
      </c>
      <c r="F863" s="12">
        <v>50930.0</v>
      </c>
      <c r="G863" s="13">
        <v>5174.0</v>
      </c>
      <c r="H863" s="13">
        <v>864.0</v>
      </c>
      <c r="I863" s="14">
        <v>160029.49</v>
      </c>
      <c r="J863" s="13">
        <v>39686.0</v>
      </c>
      <c r="K863" s="13">
        <v>714348.0</v>
      </c>
      <c r="L863" s="10" t="s">
        <v>17</v>
      </c>
      <c r="M863" s="15">
        <f t="shared" si="1"/>
        <v>2.142145887</v>
      </c>
      <c r="N863" s="16">
        <v>58.95</v>
      </c>
    </row>
    <row r="864" ht="15.75" customHeight="1">
      <c r="A864" s="9" t="s">
        <v>912</v>
      </c>
      <c r="B864" s="10" t="s">
        <v>47</v>
      </c>
      <c r="C864" s="11">
        <v>45867.0</v>
      </c>
      <c r="D864" s="11">
        <v>45875.0</v>
      </c>
      <c r="E864" s="10" t="s">
        <v>26</v>
      </c>
      <c r="F864" s="12">
        <v>8170.0</v>
      </c>
      <c r="G864" s="13">
        <v>633.0</v>
      </c>
      <c r="H864" s="13">
        <v>47.0</v>
      </c>
      <c r="I864" s="14">
        <v>4308.87</v>
      </c>
      <c r="J864" s="13">
        <v>11028.0</v>
      </c>
      <c r="K864" s="13">
        <v>132336.0</v>
      </c>
      <c r="L864" s="10" t="s">
        <v>17</v>
      </c>
      <c r="M864" s="15">
        <f t="shared" si="1"/>
        <v>-0.4725985312</v>
      </c>
      <c r="N864" s="16">
        <v>173.83</v>
      </c>
    </row>
    <row r="865" ht="15.75" customHeight="1">
      <c r="A865" s="9" t="s">
        <v>913</v>
      </c>
      <c r="B865" s="10" t="s">
        <v>52</v>
      </c>
      <c r="C865" s="11">
        <v>45847.0</v>
      </c>
      <c r="D865" s="11">
        <v>45855.0</v>
      </c>
      <c r="E865" s="10" t="s">
        <v>35</v>
      </c>
      <c r="F865" s="12">
        <v>4520.0</v>
      </c>
      <c r="G865" s="13">
        <v>309.0</v>
      </c>
      <c r="H865" s="13">
        <v>75.0</v>
      </c>
      <c r="I865" s="14">
        <v>4590.53</v>
      </c>
      <c r="J865" s="13">
        <v>9316.0</v>
      </c>
      <c r="K865" s="13">
        <v>149056.0</v>
      </c>
      <c r="L865" s="10" t="s">
        <v>17</v>
      </c>
      <c r="M865" s="15">
        <f t="shared" si="1"/>
        <v>0.0156039823</v>
      </c>
      <c r="N865" s="16">
        <v>60.27</v>
      </c>
    </row>
    <row r="866" ht="15.75" customHeight="1">
      <c r="A866" s="9" t="s">
        <v>914</v>
      </c>
      <c r="B866" s="10" t="s">
        <v>62</v>
      </c>
      <c r="C866" s="11">
        <v>46082.0</v>
      </c>
      <c r="D866" s="11">
        <v>46126.0</v>
      </c>
      <c r="E866" s="10" t="s">
        <v>35</v>
      </c>
      <c r="F866" s="12">
        <v>4856.0</v>
      </c>
      <c r="G866" s="13">
        <v>852.0</v>
      </c>
      <c r="H866" s="13">
        <v>139.0</v>
      </c>
      <c r="I866" s="14">
        <v>26246.05</v>
      </c>
      <c r="J866" s="13">
        <v>20136.0</v>
      </c>
      <c r="K866" s="13">
        <v>503400.0</v>
      </c>
      <c r="L866" s="10" t="s">
        <v>17</v>
      </c>
      <c r="M866" s="15">
        <f t="shared" si="1"/>
        <v>4.404870264</v>
      </c>
      <c r="N866" s="16">
        <v>34.94</v>
      </c>
    </row>
    <row r="867" ht="15.75" customHeight="1">
      <c r="A867" s="9" t="s">
        <v>915</v>
      </c>
      <c r="B867" s="10" t="s">
        <v>25</v>
      </c>
      <c r="C867" s="11">
        <v>45914.0</v>
      </c>
      <c r="D867" s="11">
        <v>45938.0</v>
      </c>
      <c r="E867" s="10" t="s">
        <v>16</v>
      </c>
      <c r="F867" s="12">
        <v>40147.0</v>
      </c>
      <c r="G867" s="13">
        <v>6187.0</v>
      </c>
      <c r="H867" s="13">
        <v>1010.0</v>
      </c>
      <c r="I867" s="14">
        <v>165689.19</v>
      </c>
      <c r="J867" s="13">
        <v>71171.0</v>
      </c>
      <c r="K867" s="13">
        <v>1209907.0</v>
      </c>
      <c r="L867" s="10" t="s">
        <v>17</v>
      </c>
      <c r="M867" s="15">
        <f t="shared" si="1"/>
        <v>3.127062794</v>
      </c>
      <c r="N867" s="16">
        <v>39.75</v>
      </c>
    </row>
    <row r="868" ht="15.75" customHeight="1">
      <c r="A868" s="9" t="s">
        <v>916</v>
      </c>
      <c r="B868" s="10" t="s">
        <v>15</v>
      </c>
      <c r="C868" s="11">
        <v>46019.0</v>
      </c>
      <c r="D868" s="11">
        <v>46028.0</v>
      </c>
      <c r="E868" s="10" t="s">
        <v>16</v>
      </c>
      <c r="F868" s="12">
        <v>45519.0</v>
      </c>
      <c r="G868" s="13">
        <v>3012.0</v>
      </c>
      <c r="H868" s="13">
        <v>531.0</v>
      </c>
      <c r="I868" s="14">
        <v>39330.52</v>
      </c>
      <c r="J868" s="13">
        <v>40741.0</v>
      </c>
      <c r="K868" s="13">
        <v>488892.0</v>
      </c>
      <c r="L868" s="10" t="s">
        <v>17</v>
      </c>
      <c r="M868" s="15">
        <f t="shared" si="1"/>
        <v>-0.1359537775</v>
      </c>
      <c r="N868" s="16">
        <v>85.72</v>
      </c>
    </row>
    <row r="869" ht="15.75" customHeight="1">
      <c r="A869" s="9" t="s">
        <v>917</v>
      </c>
      <c r="B869" s="10" t="s">
        <v>58</v>
      </c>
      <c r="C869" s="11">
        <v>46071.0</v>
      </c>
      <c r="D869" s="11">
        <v>46085.0</v>
      </c>
      <c r="E869" s="10" t="s">
        <v>26</v>
      </c>
      <c r="F869" s="12">
        <v>7859.0</v>
      </c>
      <c r="G869" s="13">
        <v>1229.0</v>
      </c>
      <c r="H869" s="13">
        <v>26.0</v>
      </c>
      <c r="I869" s="14">
        <v>1576.68</v>
      </c>
      <c r="J869" s="13">
        <v>9651.0</v>
      </c>
      <c r="K869" s="13">
        <v>193020.0</v>
      </c>
      <c r="L869" s="10" t="s">
        <v>17</v>
      </c>
      <c r="M869" s="15">
        <f t="shared" si="1"/>
        <v>-0.7993790559</v>
      </c>
      <c r="N869" s="16">
        <v>302.27</v>
      </c>
    </row>
    <row r="870" ht="15.75" customHeight="1">
      <c r="A870" s="9" t="s">
        <v>918</v>
      </c>
      <c r="B870" s="10" t="s">
        <v>28</v>
      </c>
      <c r="C870" s="11">
        <v>46115.0</v>
      </c>
      <c r="D870" s="11">
        <v>46170.0</v>
      </c>
      <c r="E870" s="10" t="s">
        <v>26</v>
      </c>
      <c r="F870" s="12">
        <v>8906.0</v>
      </c>
      <c r="G870" s="13">
        <v>1008.0</v>
      </c>
      <c r="H870" s="13">
        <v>32.0</v>
      </c>
      <c r="I870" s="14">
        <v>6982.74</v>
      </c>
      <c r="J870" s="13">
        <v>18791.0</v>
      </c>
      <c r="K870" s="13">
        <v>338238.0</v>
      </c>
      <c r="L870" s="10" t="s">
        <v>17</v>
      </c>
      <c r="M870" s="15">
        <f t="shared" si="1"/>
        <v>-0.2159510442</v>
      </c>
      <c r="N870" s="16">
        <v>278.31</v>
      </c>
    </row>
    <row r="871" ht="15.75" customHeight="1">
      <c r="A871" s="9" t="s">
        <v>919</v>
      </c>
      <c r="B871" s="10" t="s">
        <v>38</v>
      </c>
      <c r="C871" s="11">
        <v>46163.0</v>
      </c>
      <c r="D871" s="11">
        <v>46208.0</v>
      </c>
      <c r="E871" s="10" t="s">
        <v>26</v>
      </c>
      <c r="F871" s="12">
        <v>9355.0</v>
      </c>
      <c r="G871" s="13">
        <v>589.0</v>
      </c>
      <c r="H871" s="13">
        <v>17.0</v>
      </c>
      <c r="I871" s="14">
        <v>1888.84</v>
      </c>
      <c r="J871" s="13">
        <v>11317.0</v>
      </c>
      <c r="K871" s="13">
        <v>215023.0</v>
      </c>
      <c r="L871" s="10" t="s">
        <v>17</v>
      </c>
      <c r="M871" s="15">
        <f t="shared" si="1"/>
        <v>-0.7980929984</v>
      </c>
      <c r="N871" s="16">
        <v>550.29</v>
      </c>
    </row>
    <row r="872" ht="15.75" customHeight="1">
      <c r="A872" s="9" t="s">
        <v>920</v>
      </c>
      <c r="B872" s="10" t="s">
        <v>62</v>
      </c>
      <c r="C872" s="11">
        <v>45881.0</v>
      </c>
      <c r="D872" s="11">
        <v>45893.0</v>
      </c>
      <c r="E872" s="10" t="s">
        <v>26</v>
      </c>
      <c r="F872" s="12">
        <v>22311.0</v>
      </c>
      <c r="G872" s="13">
        <v>1694.0</v>
      </c>
      <c r="H872" s="13">
        <v>47.0</v>
      </c>
      <c r="I872" s="14">
        <v>48797.98</v>
      </c>
      <c r="J872" s="13">
        <v>32219.0</v>
      </c>
      <c r="K872" s="13">
        <v>676599.0</v>
      </c>
      <c r="L872" s="10" t="s">
        <v>17</v>
      </c>
      <c r="M872" s="15">
        <f t="shared" si="1"/>
        <v>1.18717135</v>
      </c>
      <c r="N872" s="16">
        <v>474.7</v>
      </c>
    </row>
    <row r="873" ht="15.75" customHeight="1">
      <c r="A873" s="9" t="s">
        <v>921</v>
      </c>
      <c r="B873" s="10" t="s">
        <v>19</v>
      </c>
      <c r="C873" s="11">
        <v>46044.0</v>
      </c>
      <c r="D873" s="11">
        <v>46061.0</v>
      </c>
      <c r="E873" s="10" t="s">
        <v>35</v>
      </c>
      <c r="F873" s="12">
        <v>4370.0</v>
      </c>
      <c r="G873" s="13">
        <v>257.0</v>
      </c>
      <c r="H873" s="13">
        <v>38.0</v>
      </c>
      <c r="I873" s="14">
        <v>5480.76</v>
      </c>
      <c r="J873" s="13">
        <v>11382.0</v>
      </c>
      <c r="K873" s="13">
        <v>239022.0</v>
      </c>
      <c r="L873" s="10" t="s">
        <v>17</v>
      </c>
      <c r="M873" s="15">
        <f t="shared" si="1"/>
        <v>0.2541784897</v>
      </c>
      <c r="N873" s="16">
        <v>115.0</v>
      </c>
    </row>
    <row r="874" ht="15.75" customHeight="1">
      <c r="A874" s="9" t="s">
        <v>922</v>
      </c>
      <c r="B874" s="10" t="s">
        <v>25</v>
      </c>
      <c r="C874" s="11">
        <v>46181.0</v>
      </c>
      <c r="D874" s="11">
        <v>46219.0</v>
      </c>
      <c r="E874" s="10" t="s">
        <v>26</v>
      </c>
      <c r="F874" s="12">
        <v>13629.0</v>
      </c>
      <c r="G874" s="13">
        <v>2386.0</v>
      </c>
      <c r="H874" s="13">
        <v>61.0</v>
      </c>
      <c r="I874" s="14">
        <v>4307.32</v>
      </c>
      <c r="J874" s="13">
        <v>32230.0</v>
      </c>
      <c r="K874" s="13">
        <v>418990.0</v>
      </c>
      <c r="L874" s="10" t="s">
        <v>17</v>
      </c>
      <c r="M874" s="15">
        <f t="shared" si="1"/>
        <v>-0.6839592046</v>
      </c>
      <c r="N874" s="16">
        <v>223.43</v>
      </c>
    </row>
    <row r="875" ht="15.75" customHeight="1">
      <c r="A875" s="9" t="s">
        <v>923</v>
      </c>
      <c r="B875" s="10" t="s">
        <v>52</v>
      </c>
      <c r="C875" s="11">
        <v>45927.0</v>
      </c>
      <c r="D875" s="11">
        <v>45980.0</v>
      </c>
      <c r="E875" s="10" t="s">
        <v>26</v>
      </c>
      <c r="F875" s="12">
        <v>4999.0</v>
      </c>
      <c r="G875" s="13">
        <v>342.0</v>
      </c>
      <c r="H875" s="13">
        <v>14.0</v>
      </c>
      <c r="I875" s="14">
        <v>2973.51</v>
      </c>
      <c r="J875" s="13">
        <v>10465.0</v>
      </c>
      <c r="K875" s="13">
        <v>209300.0</v>
      </c>
      <c r="L875" s="10" t="s">
        <v>17</v>
      </c>
      <c r="M875" s="15">
        <f t="shared" si="1"/>
        <v>-0.4051790358</v>
      </c>
      <c r="N875" s="16">
        <v>357.07</v>
      </c>
    </row>
    <row r="876" ht="15.75" customHeight="1">
      <c r="A876" s="9" t="s">
        <v>924</v>
      </c>
      <c r="B876" s="10" t="s">
        <v>75</v>
      </c>
      <c r="C876" s="11">
        <v>45973.0</v>
      </c>
      <c r="D876" s="11">
        <v>46011.0</v>
      </c>
      <c r="E876" s="10" t="s">
        <v>16</v>
      </c>
      <c r="F876" s="12">
        <v>42208.0</v>
      </c>
      <c r="G876" s="13">
        <v>4748.0</v>
      </c>
      <c r="H876" s="13">
        <v>273.0</v>
      </c>
      <c r="I876" s="14">
        <v>13015.41</v>
      </c>
      <c r="J876" s="13">
        <v>52153.0</v>
      </c>
      <c r="K876" s="13">
        <v>1199519.0</v>
      </c>
      <c r="L876" s="10" t="s">
        <v>17</v>
      </c>
      <c r="M876" s="15">
        <f t="shared" si="1"/>
        <v>-0.6916364196</v>
      </c>
      <c r="N876" s="16">
        <v>154.61</v>
      </c>
    </row>
    <row r="877" ht="15.75" customHeight="1">
      <c r="A877" s="9" t="s">
        <v>925</v>
      </c>
      <c r="B877" s="10" t="s">
        <v>25</v>
      </c>
      <c r="C877" s="11">
        <v>46037.0</v>
      </c>
      <c r="D877" s="11">
        <v>46080.0</v>
      </c>
      <c r="E877" s="10" t="s">
        <v>16</v>
      </c>
      <c r="F877" s="12">
        <v>33327.0</v>
      </c>
      <c r="G877" s="13">
        <v>2085.0</v>
      </c>
      <c r="H877" s="13">
        <v>180.0</v>
      </c>
      <c r="I877" s="14">
        <v>29116.3</v>
      </c>
      <c r="J877" s="13">
        <v>24322.0</v>
      </c>
      <c r="K877" s="13">
        <v>656694.0</v>
      </c>
      <c r="L877" s="10" t="s">
        <v>17</v>
      </c>
      <c r="M877" s="15">
        <f t="shared" si="1"/>
        <v>-0.1263450056</v>
      </c>
      <c r="N877" s="16">
        <v>185.15</v>
      </c>
    </row>
    <row r="878" ht="15.75" customHeight="1">
      <c r="A878" s="9" t="s">
        <v>926</v>
      </c>
      <c r="B878" s="10" t="s">
        <v>56</v>
      </c>
      <c r="C878" s="11">
        <v>45932.0</v>
      </c>
      <c r="D878" s="11">
        <v>45936.0</v>
      </c>
      <c r="E878" s="10" t="s">
        <v>26</v>
      </c>
      <c r="F878" s="12">
        <v>12515.0</v>
      </c>
      <c r="G878" s="13">
        <v>1893.0</v>
      </c>
      <c r="H878" s="13">
        <v>116.0</v>
      </c>
      <c r="I878" s="14">
        <v>9709.93</v>
      </c>
      <c r="J878" s="13">
        <v>38239.0</v>
      </c>
      <c r="K878" s="13">
        <v>994214.0</v>
      </c>
      <c r="L878" s="10" t="s">
        <v>17</v>
      </c>
      <c r="M878" s="15">
        <f t="shared" si="1"/>
        <v>-0.224136636</v>
      </c>
      <c r="N878" s="16">
        <v>107.89</v>
      </c>
    </row>
    <row r="879" ht="15.75" customHeight="1">
      <c r="A879" s="9" t="s">
        <v>927</v>
      </c>
      <c r="B879" s="10" t="s">
        <v>28</v>
      </c>
      <c r="C879" s="11">
        <v>45951.0</v>
      </c>
      <c r="D879" s="11">
        <v>46010.0</v>
      </c>
      <c r="E879" s="10" t="s">
        <v>26</v>
      </c>
      <c r="F879" s="12">
        <v>16655.0</v>
      </c>
      <c r="G879" s="13">
        <v>1109.0</v>
      </c>
      <c r="H879" s="13">
        <v>50.0</v>
      </c>
      <c r="I879" s="14">
        <v>2209.25</v>
      </c>
      <c r="J879" s="13">
        <v>53285.0</v>
      </c>
      <c r="K879" s="13">
        <v>1065700.0</v>
      </c>
      <c r="L879" s="10" t="s">
        <v>17</v>
      </c>
      <c r="M879" s="15">
        <f t="shared" si="1"/>
        <v>-0.8673521465</v>
      </c>
      <c r="N879" s="16">
        <v>333.1</v>
      </c>
    </row>
    <row r="880" ht="15.75" customHeight="1">
      <c r="A880" s="9" t="s">
        <v>928</v>
      </c>
      <c r="B880" s="10" t="s">
        <v>56</v>
      </c>
      <c r="C880" s="11">
        <v>45930.0</v>
      </c>
      <c r="D880" s="11">
        <v>45950.0</v>
      </c>
      <c r="E880" s="10" t="s">
        <v>26</v>
      </c>
      <c r="F880" s="12">
        <v>10504.0</v>
      </c>
      <c r="G880" s="13">
        <v>820.0</v>
      </c>
      <c r="H880" s="13">
        <v>60.0</v>
      </c>
      <c r="I880" s="14">
        <v>2736.82</v>
      </c>
      <c r="J880" s="13">
        <v>12512.0</v>
      </c>
      <c r="K880" s="13">
        <v>362848.0</v>
      </c>
      <c r="L880" s="10" t="s">
        <v>17</v>
      </c>
      <c r="M880" s="15">
        <f t="shared" si="1"/>
        <v>-0.7394497334</v>
      </c>
      <c r="N880" s="16">
        <v>175.07</v>
      </c>
    </row>
    <row r="881" ht="15.75" customHeight="1">
      <c r="A881" s="9" t="s">
        <v>929</v>
      </c>
      <c r="B881" s="10" t="s">
        <v>56</v>
      </c>
      <c r="C881" s="11">
        <v>46196.0</v>
      </c>
      <c r="D881" s="11">
        <v>46226.0</v>
      </c>
      <c r="E881" s="10" t="s">
        <v>26</v>
      </c>
      <c r="F881" s="12">
        <v>7874.0</v>
      </c>
      <c r="G881" s="13">
        <v>415.0</v>
      </c>
      <c r="H881" s="13">
        <v>28.0</v>
      </c>
      <c r="I881" s="14">
        <v>4978.54</v>
      </c>
      <c r="J881" s="13">
        <v>10446.0</v>
      </c>
      <c r="K881" s="13">
        <v>208920.0</v>
      </c>
      <c r="L881" s="10" t="s">
        <v>17</v>
      </c>
      <c r="M881" s="15">
        <f t="shared" si="1"/>
        <v>-0.3677241554</v>
      </c>
      <c r="N881" s="16">
        <v>281.21</v>
      </c>
    </row>
    <row r="882" ht="15.75" customHeight="1">
      <c r="A882" s="9" t="s">
        <v>14</v>
      </c>
      <c r="B882" s="10" t="s">
        <v>52</v>
      </c>
      <c r="C882" s="11">
        <v>45881.0</v>
      </c>
      <c r="D882" s="11">
        <v>45916.0</v>
      </c>
      <c r="E882" s="10" t="s">
        <v>16</v>
      </c>
      <c r="F882" s="12">
        <v>29034.0</v>
      </c>
      <c r="G882" s="13">
        <v>1495.0</v>
      </c>
      <c r="H882" s="13">
        <v>198.0</v>
      </c>
      <c r="I882" s="14">
        <v>43582.29</v>
      </c>
      <c r="J882" s="13">
        <v>20989.0</v>
      </c>
      <c r="K882" s="13">
        <v>524725.0</v>
      </c>
      <c r="L882" s="10" t="s">
        <v>17</v>
      </c>
      <c r="M882" s="15">
        <f t="shared" si="1"/>
        <v>0.501077702</v>
      </c>
      <c r="N882" s="16">
        <v>146.64</v>
      </c>
    </row>
    <row r="883" ht="15.75" customHeight="1">
      <c r="A883" s="9" t="s">
        <v>930</v>
      </c>
      <c r="B883" s="10" t="s">
        <v>58</v>
      </c>
      <c r="C883" s="11">
        <v>46178.0</v>
      </c>
      <c r="D883" s="11">
        <v>46213.0</v>
      </c>
      <c r="E883" s="10" t="s">
        <v>26</v>
      </c>
      <c r="F883" s="12">
        <v>7639.0</v>
      </c>
      <c r="G883" s="13">
        <v>555.0</v>
      </c>
      <c r="H883" s="13">
        <v>17.0</v>
      </c>
      <c r="I883" s="14">
        <v>1107.96</v>
      </c>
      <c r="J883" s="13">
        <v>17546.0</v>
      </c>
      <c r="K883" s="13">
        <v>473742.0</v>
      </c>
      <c r="L883" s="10" t="s">
        <v>17</v>
      </c>
      <c r="M883" s="15">
        <f t="shared" si="1"/>
        <v>-0.8549600733</v>
      </c>
      <c r="N883" s="16">
        <v>449.35</v>
      </c>
    </row>
    <row r="884" ht="15.75" customHeight="1">
      <c r="A884" s="9" t="s">
        <v>931</v>
      </c>
      <c r="B884" s="10" t="s">
        <v>19</v>
      </c>
      <c r="C884" s="11">
        <v>46173.0</v>
      </c>
      <c r="D884" s="11">
        <v>46228.0</v>
      </c>
      <c r="E884" s="10" t="s">
        <v>16</v>
      </c>
      <c r="F884" s="12">
        <v>24458.0</v>
      </c>
      <c r="G884" s="13">
        <v>4050.0</v>
      </c>
      <c r="H884" s="13">
        <v>332.0</v>
      </c>
      <c r="I884" s="14">
        <v>57181.59</v>
      </c>
      <c r="J884" s="13">
        <v>42531.0</v>
      </c>
      <c r="K884" s="13">
        <v>1105806.0</v>
      </c>
      <c r="L884" s="10" t="s">
        <v>17</v>
      </c>
      <c r="M884" s="15">
        <f t="shared" si="1"/>
        <v>1.337950364</v>
      </c>
      <c r="N884" s="16">
        <v>73.67</v>
      </c>
    </row>
    <row r="885" ht="15.75" customHeight="1">
      <c r="A885" s="9" t="s">
        <v>932</v>
      </c>
      <c r="B885" s="10" t="s">
        <v>52</v>
      </c>
      <c r="C885" s="11">
        <v>46018.0</v>
      </c>
      <c r="D885" s="11">
        <v>46063.0</v>
      </c>
      <c r="E885" s="10" t="s">
        <v>35</v>
      </c>
      <c r="F885" s="12">
        <v>4875.0</v>
      </c>
      <c r="G885" s="13">
        <v>245.0</v>
      </c>
      <c r="H885" s="13">
        <v>33.0</v>
      </c>
      <c r="I885" s="14">
        <v>5633.68</v>
      </c>
      <c r="J885" s="13">
        <v>12614.0</v>
      </c>
      <c r="K885" s="13">
        <v>252280.0</v>
      </c>
      <c r="L885" s="10" t="s">
        <v>17</v>
      </c>
      <c r="M885" s="15">
        <f t="shared" si="1"/>
        <v>0.1556266667</v>
      </c>
      <c r="N885" s="16">
        <v>147.73</v>
      </c>
    </row>
    <row r="886" ht="15.75" customHeight="1">
      <c r="A886" s="9" t="s">
        <v>933</v>
      </c>
      <c r="B886" s="10" t="s">
        <v>75</v>
      </c>
      <c r="C886" s="11">
        <v>46019.0</v>
      </c>
      <c r="D886" s="11">
        <v>46065.0</v>
      </c>
      <c r="E886" s="10" t="s">
        <v>26</v>
      </c>
      <c r="F886" s="12">
        <v>22744.0</v>
      </c>
      <c r="G886" s="13">
        <v>2703.0</v>
      </c>
      <c r="H886" s="13">
        <v>192.0</v>
      </c>
      <c r="I886" s="14">
        <v>37221.02</v>
      </c>
      <c r="J886" s="13">
        <v>48336.0</v>
      </c>
      <c r="K886" s="13">
        <v>725040.0</v>
      </c>
      <c r="L886" s="10" t="s">
        <v>17</v>
      </c>
      <c r="M886" s="15">
        <f t="shared" si="1"/>
        <v>0.636520401</v>
      </c>
      <c r="N886" s="16">
        <v>118.46</v>
      </c>
    </row>
    <row r="887" ht="15.75" customHeight="1">
      <c r="A887" s="9" t="s">
        <v>934</v>
      </c>
      <c r="B887" s="10" t="s">
        <v>28</v>
      </c>
      <c r="C887" s="11">
        <v>46136.0</v>
      </c>
      <c r="D887" s="11">
        <v>46173.0</v>
      </c>
      <c r="E887" s="10" t="s">
        <v>26</v>
      </c>
      <c r="F887" s="12">
        <v>19972.0</v>
      </c>
      <c r="G887" s="13">
        <v>1216.0</v>
      </c>
      <c r="H887" s="13">
        <v>32.0</v>
      </c>
      <c r="I887" s="14">
        <v>4170.95</v>
      </c>
      <c r="J887" s="13">
        <v>37790.0</v>
      </c>
      <c r="K887" s="13">
        <v>755800.0</v>
      </c>
      <c r="L887" s="10" t="s">
        <v>17</v>
      </c>
      <c r="M887" s="15">
        <f t="shared" si="1"/>
        <v>-0.7911601242</v>
      </c>
      <c r="N887" s="16">
        <v>624.13</v>
      </c>
    </row>
    <row r="888" ht="15.75" customHeight="1">
      <c r="A888" s="9" t="s">
        <v>935</v>
      </c>
      <c r="B888" s="10" t="s">
        <v>62</v>
      </c>
      <c r="C888" s="11">
        <v>45910.0</v>
      </c>
      <c r="D888" s="11">
        <v>45942.0</v>
      </c>
      <c r="E888" s="10" t="s">
        <v>26</v>
      </c>
      <c r="F888" s="12">
        <v>3780.0</v>
      </c>
      <c r="G888" s="13">
        <v>277.0</v>
      </c>
      <c r="H888" s="13">
        <v>286.0</v>
      </c>
      <c r="I888" s="14">
        <v>63761.66</v>
      </c>
      <c r="J888" s="13">
        <v>7975.0</v>
      </c>
      <c r="K888" s="13">
        <v>119625.0</v>
      </c>
      <c r="L888" s="10" t="s">
        <v>17</v>
      </c>
      <c r="M888" s="15">
        <f t="shared" si="1"/>
        <v>15.86816402</v>
      </c>
      <c r="N888" s="16">
        <v>13.22</v>
      </c>
    </row>
    <row r="889" ht="15.75" customHeight="1">
      <c r="A889" s="9" t="s">
        <v>936</v>
      </c>
      <c r="B889" s="10" t="s">
        <v>75</v>
      </c>
      <c r="C889" s="11">
        <v>46007.0</v>
      </c>
      <c r="D889" s="11">
        <v>46040.0</v>
      </c>
      <c r="E889" s="10" t="s">
        <v>35</v>
      </c>
      <c r="F889" s="12">
        <v>3299.0</v>
      </c>
      <c r="G889" s="13">
        <v>423.0</v>
      </c>
      <c r="H889" s="13">
        <v>98.0</v>
      </c>
      <c r="I889" s="14">
        <v>14622.19</v>
      </c>
      <c r="J889" s="13">
        <v>9722.0</v>
      </c>
      <c r="K889" s="13">
        <v>145830.0</v>
      </c>
      <c r="L889" s="10" t="s">
        <v>17</v>
      </c>
      <c r="M889" s="15">
        <f t="shared" si="1"/>
        <v>3.432309791</v>
      </c>
      <c r="N889" s="16">
        <v>33.66</v>
      </c>
    </row>
    <row r="890" ht="15.75" customHeight="1">
      <c r="A890" s="9" t="s">
        <v>937</v>
      </c>
      <c r="B890" s="10" t="s">
        <v>19</v>
      </c>
      <c r="C890" s="11">
        <v>45888.0</v>
      </c>
      <c r="D890" s="11">
        <v>45926.0</v>
      </c>
      <c r="E890" s="10" t="s">
        <v>26</v>
      </c>
      <c r="F890" s="12">
        <v>11054.0</v>
      </c>
      <c r="G890" s="13">
        <v>1003.0</v>
      </c>
      <c r="H890" s="13">
        <v>66.0</v>
      </c>
      <c r="I890" s="14">
        <v>10225.4</v>
      </c>
      <c r="J890" s="13">
        <v>26639.0</v>
      </c>
      <c r="K890" s="13">
        <v>612697.0</v>
      </c>
      <c r="L890" s="10" t="s">
        <v>17</v>
      </c>
      <c r="M890" s="15">
        <f t="shared" si="1"/>
        <v>-0.07495929075</v>
      </c>
      <c r="N890" s="16">
        <v>167.48</v>
      </c>
    </row>
    <row r="891" ht="15.75" customHeight="1">
      <c r="A891" s="9" t="s">
        <v>938</v>
      </c>
      <c r="B891" s="10" t="s">
        <v>56</v>
      </c>
      <c r="C891" s="11">
        <v>46051.0</v>
      </c>
      <c r="D891" s="11">
        <v>46110.0</v>
      </c>
      <c r="E891" s="10" t="s">
        <v>16</v>
      </c>
      <c r="F891" s="12">
        <v>49122.0</v>
      </c>
      <c r="G891" s="13">
        <v>3484.0</v>
      </c>
      <c r="H891" s="13">
        <v>538.0</v>
      </c>
      <c r="I891" s="14">
        <v>42818.6</v>
      </c>
      <c r="J891" s="13">
        <v>92468.0</v>
      </c>
      <c r="K891" s="13">
        <v>1479488.0</v>
      </c>
      <c r="L891" s="10" t="s">
        <v>17</v>
      </c>
      <c r="M891" s="15">
        <f t="shared" si="1"/>
        <v>-0.1283213224</v>
      </c>
      <c r="N891" s="16">
        <v>91.3</v>
      </c>
    </row>
    <row r="892" ht="15.75" customHeight="1">
      <c r="A892" s="9" t="s">
        <v>939</v>
      </c>
      <c r="B892" s="10" t="s">
        <v>75</v>
      </c>
      <c r="C892" s="11">
        <v>46014.0</v>
      </c>
      <c r="D892" s="11">
        <v>46044.0</v>
      </c>
      <c r="E892" s="10" t="s">
        <v>26</v>
      </c>
      <c r="F892" s="12">
        <v>20805.0</v>
      </c>
      <c r="G892" s="13">
        <v>1114.0</v>
      </c>
      <c r="H892" s="13">
        <v>82.0</v>
      </c>
      <c r="I892" s="14">
        <v>6997.69</v>
      </c>
      <c r="J892" s="13">
        <v>38490.0</v>
      </c>
      <c r="K892" s="13">
        <v>731310.0</v>
      </c>
      <c r="L892" s="10" t="s">
        <v>17</v>
      </c>
      <c r="M892" s="15">
        <f t="shared" si="1"/>
        <v>-0.6636534487</v>
      </c>
      <c r="N892" s="16">
        <v>253.72</v>
      </c>
    </row>
    <row r="893" ht="15.75" customHeight="1">
      <c r="A893" s="9" t="s">
        <v>940</v>
      </c>
      <c r="B893" s="10" t="s">
        <v>15</v>
      </c>
      <c r="C893" s="11">
        <v>45986.0</v>
      </c>
      <c r="D893" s="11">
        <v>46032.0</v>
      </c>
      <c r="E893" s="10" t="s">
        <v>26</v>
      </c>
      <c r="F893" s="12">
        <v>13171.0</v>
      </c>
      <c r="G893" s="13">
        <v>1198.0</v>
      </c>
      <c r="H893" s="13">
        <v>50.0</v>
      </c>
      <c r="I893" s="14">
        <v>4223.44</v>
      </c>
      <c r="J893" s="13">
        <v>30368.0</v>
      </c>
      <c r="K893" s="13">
        <v>303680.0</v>
      </c>
      <c r="L893" s="10" t="s">
        <v>17</v>
      </c>
      <c r="M893" s="15">
        <f t="shared" si="1"/>
        <v>-0.6793379394</v>
      </c>
      <c r="N893" s="16">
        <v>263.42</v>
      </c>
    </row>
    <row r="894" ht="15.75" customHeight="1">
      <c r="A894" s="9" t="s">
        <v>941</v>
      </c>
      <c r="B894" s="10" t="s">
        <v>38</v>
      </c>
      <c r="C894" s="11">
        <v>46198.0</v>
      </c>
      <c r="D894" s="11">
        <v>46254.0</v>
      </c>
      <c r="E894" s="10" t="s">
        <v>26</v>
      </c>
      <c r="F894" s="12">
        <v>22027.0</v>
      </c>
      <c r="G894" s="13">
        <v>2136.0</v>
      </c>
      <c r="H894" s="13">
        <v>49.0</v>
      </c>
      <c r="I894" s="14">
        <v>8913.1</v>
      </c>
      <c r="J894" s="13">
        <v>29581.0</v>
      </c>
      <c r="K894" s="13">
        <v>828268.0</v>
      </c>
      <c r="L894" s="10" t="s">
        <v>17</v>
      </c>
      <c r="M894" s="15">
        <f t="shared" si="1"/>
        <v>-0.5953556998</v>
      </c>
      <c r="N894" s="16">
        <v>449.53</v>
      </c>
    </row>
    <row r="895" ht="15.75" customHeight="1">
      <c r="A895" s="9" t="s">
        <v>942</v>
      </c>
      <c r="B895" s="10" t="s">
        <v>19</v>
      </c>
      <c r="C895" s="11">
        <v>46113.0</v>
      </c>
      <c r="D895" s="11">
        <v>46157.0</v>
      </c>
      <c r="E895" s="10" t="s">
        <v>35</v>
      </c>
      <c r="F895" s="12">
        <v>2818.0</v>
      </c>
      <c r="G895" s="13">
        <v>183.0</v>
      </c>
      <c r="H895" s="13">
        <v>40.0</v>
      </c>
      <c r="I895" s="14">
        <v>3909.99</v>
      </c>
      <c r="J895" s="13">
        <v>8180.0</v>
      </c>
      <c r="K895" s="13">
        <v>98160.0</v>
      </c>
      <c r="L895" s="10" t="s">
        <v>17</v>
      </c>
      <c r="M895" s="15">
        <f t="shared" si="1"/>
        <v>0.3875053229</v>
      </c>
      <c r="N895" s="16">
        <v>70.45</v>
      </c>
    </row>
    <row r="896" ht="15.75" customHeight="1">
      <c r="A896" s="9" t="s">
        <v>943</v>
      </c>
      <c r="B896" s="10" t="s">
        <v>75</v>
      </c>
      <c r="C896" s="11">
        <v>46027.0</v>
      </c>
      <c r="D896" s="11">
        <v>46069.0</v>
      </c>
      <c r="E896" s="10" t="s">
        <v>26</v>
      </c>
      <c r="F896" s="12">
        <v>5253.0</v>
      </c>
      <c r="G896" s="13">
        <v>281.0</v>
      </c>
      <c r="H896" s="13">
        <v>13.0</v>
      </c>
      <c r="I896" s="14">
        <v>1876.45</v>
      </c>
      <c r="J896" s="13">
        <v>15782.0</v>
      </c>
      <c r="K896" s="13">
        <v>252512.0</v>
      </c>
      <c r="L896" s="10" t="s">
        <v>17</v>
      </c>
      <c r="M896" s="15">
        <f t="shared" si="1"/>
        <v>-0.6427850752</v>
      </c>
      <c r="N896" s="16">
        <v>404.08</v>
      </c>
    </row>
    <row r="897" ht="15.75" customHeight="1">
      <c r="A897" s="9" t="s">
        <v>944</v>
      </c>
      <c r="B897" s="10" t="s">
        <v>19</v>
      </c>
      <c r="C897" s="11">
        <v>45991.0</v>
      </c>
      <c r="D897" s="11">
        <v>46022.0</v>
      </c>
      <c r="E897" s="10" t="s">
        <v>35</v>
      </c>
      <c r="F897" s="12">
        <v>3223.0</v>
      </c>
      <c r="G897" s="13">
        <v>283.0</v>
      </c>
      <c r="H897" s="13">
        <v>34.0</v>
      </c>
      <c r="I897" s="14">
        <v>3494.45</v>
      </c>
      <c r="J897" s="13">
        <v>7560.0</v>
      </c>
      <c r="K897" s="13">
        <v>204120.0</v>
      </c>
      <c r="L897" s="10" t="s">
        <v>17</v>
      </c>
      <c r="M897" s="15">
        <f t="shared" si="1"/>
        <v>0.08422277381</v>
      </c>
      <c r="N897" s="16">
        <v>94.79</v>
      </c>
    </row>
    <row r="898" ht="15.75" customHeight="1">
      <c r="A898" s="9" t="s">
        <v>945</v>
      </c>
      <c r="B898" s="10" t="s">
        <v>19</v>
      </c>
      <c r="C898" s="11">
        <v>45938.0</v>
      </c>
      <c r="D898" s="11">
        <v>45948.0</v>
      </c>
      <c r="E898" s="10" t="s">
        <v>26</v>
      </c>
      <c r="F898" s="12">
        <v>19862.0</v>
      </c>
      <c r="G898" s="13">
        <v>1196.0</v>
      </c>
      <c r="H898" s="13">
        <v>39.0</v>
      </c>
      <c r="I898" s="14">
        <v>6010.9</v>
      </c>
      <c r="J898" s="13">
        <v>56766.0</v>
      </c>
      <c r="K898" s="13">
        <v>510894.0</v>
      </c>
      <c r="L898" s="10" t="s">
        <v>17</v>
      </c>
      <c r="M898" s="15">
        <f t="shared" si="1"/>
        <v>-0.6973668311</v>
      </c>
      <c r="N898" s="16">
        <v>509.28</v>
      </c>
    </row>
    <row r="899" ht="15.75" customHeight="1">
      <c r="A899" s="9" t="s">
        <v>946</v>
      </c>
      <c r="B899" s="10" t="s">
        <v>19</v>
      </c>
      <c r="C899" s="11">
        <v>45928.0</v>
      </c>
      <c r="D899" s="11">
        <v>45961.0</v>
      </c>
      <c r="E899" s="10" t="s">
        <v>26</v>
      </c>
      <c r="F899" s="12">
        <v>20303.0</v>
      </c>
      <c r="G899" s="13">
        <v>1177.0</v>
      </c>
      <c r="H899" s="13">
        <v>57.0</v>
      </c>
      <c r="I899" s="14">
        <v>2466.56</v>
      </c>
      <c r="J899" s="13">
        <v>66396.0</v>
      </c>
      <c r="K899" s="13">
        <v>1925484.0</v>
      </c>
      <c r="L899" s="10" t="s">
        <v>17</v>
      </c>
      <c r="M899" s="15">
        <f t="shared" si="1"/>
        <v>-0.8785125351</v>
      </c>
      <c r="N899" s="16">
        <v>356.19</v>
      </c>
    </row>
    <row r="900" ht="15.75" customHeight="1">
      <c r="A900" s="9" t="s">
        <v>947</v>
      </c>
      <c r="B900" s="10" t="s">
        <v>30</v>
      </c>
      <c r="C900" s="11">
        <v>46101.0</v>
      </c>
      <c r="D900" s="11">
        <v>46140.0</v>
      </c>
      <c r="E900" s="10" t="s">
        <v>26</v>
      </c>
      <c r="F900" s="12">
        <v>6018.0</v>
      </c>
      <c r="G900" s="13">
        <v>858.0</v>
      </c>
      <c r="H900" s="13">
        <v>35.0</v>
      </c>
      <c r="I900" s="14">
        <v>13233.55</v>
      </c>
      <c r="J900" s="13">
        <v>8460.0</v>
      </c>
      <c r="K900" s="13">
        <v>219960.0</v>
      </c>
      <c r="L900" s="10" t="s">
        <v>17</v>
      </c>
      <c r="M900" s="15">
        <f t="shared" si="1"/>
        <v>1.198994683</v>
      </c>
      <c r="N900" s="16">
        <v>171.94</v>
      </c>
    </row>
    <row r="901" ht="15.75" customHeight="1">
      <c r="A901" s="9" t="s">
        <v>948</v>
      </c>
      <c r="B901" s="10" t="s">
        <v>19</v>
      </c>
      <c r="C901" s="11">
        <v>46041.0</v>
      </c>
      <c r="D901" s="11">
        <v>46052.0</v>
      </c>
      <c r="E901" s="10" t="s">
        <v>26</v>
      </c>
      <c r="F901" s="12">
        <v>21756.0</v>
      </c>
      <c r="G901" s="13">
        <v>2171.0</v>
      </c>
      <c r="H901" s="13">
        <v>122.0</v>
      </c>
      <c r="I901" s="14">
        <v>21011.02</v>
      </c>
      <c r="J901" s="13">
        <v>47902.0</v>
      </c>
      <c r="K901" s="13">
        <v>383216.0</v>
      </c>
      <c r="L901" s="10" t="s">
        <v>17</v>
      </c>
      <c r="M901" s="15">
        <f t="shared" si="1"/>
        <v>-0.03424250781</v>
      </c>
      <c r="N901" s="16">
        <v>178.33</v>
      </c>
    </row>
    <row r="902" ht="15.75" customHeight="1">
      <c r="A902" s="9" t="s">
        <v>949</v>
      </c>
      <c r="B902" s="10" t="s">
        <v>19</v>
      </c>
      <c r="C902" s="11">
        <v>45955.0</v>
      </c>
      <c r="D902" s="11">
        <v>45994.0</v>
      </c>
      <c r="E902" s="10" t="s">
        <v>26</v>
      </c>
      <c r="F902" s="12">
        <v>3055.0</v>
      </c>
      <c r="G902" s="13">
        <v>161.0</v>
      </c>
      <c r="H902" s="13">
        <v>8.0</v>
      </c>
      <c r="I902" s="14">
        <v>1229.78</v>
      </c>
      <c r="J902" s="13">
        <v>6937.0</v>
      </c>
      <c r="K902" s="13">
        <v>117929.0</v>
      </c>
      <c r="L902" s="10" t="s">
        <v>17</v>
      </c>
      <c r="M902" s="15">
        <f t="shared" si="1"/>
        <v>-0.5974533552</v>
      </c>
      <c r="N902" s="16">
        <v>381.88</v>
      </c>
    </row>
    <row r="903" ht="15.75" customHeight="1">
      <c r="A903" s="9" t="s">
        <v>950</v>
      </c>
      <c r="B903" s="10" t="s">
        <v>47</v>
      </c>
      <c r="C903" s="11">
        <v>45991.0</v>
      </c>
      <c r="D903" s="11">
        <v>46033.0</v>
      </c>
      <c r="E903" s="10" t="s">
        <v>35</v>
      </c>
      <c r="F903" s="12">
        <v>4550.0</v>
      </c>
      <c r="G903" s="13">
        <v>350.0</v>
      </c>
      <c r="H903" s="13">
        <v>75.0</v>
      </c>
      <c r="I903" s="14">
        <v>16319.48</v>
      </c>
      <c r="J903" s="13">
        <v>15000.0</v>
      </c>
      <c r="K903" s="13">
        <v>360000.0</v>
      </c>
      <c r="L903" s="10" t="s">
        <v>17</v>
      </c>
      <c r="M903" s="15">
        <f t="shared" si="1"/>
        <v>2.586698901</v>
      </c>
      <c r="N903" s="16">
        <v>60.67</v>
      </c>
    </row>
    <row r="904" ht="15.75" customHeight="1">
      <c r="A904" s="9" t="s">
        <v>951</v>
      </c>
      <c r="B904" s="10" t="s">
        <v>52</v>
      </c>
      <c r="C904" s="11">
        <v>45912.0</v>
      </c>
      <c r="D904" s="11">
        <v>45919.0</v>
      </c>
      <c r="E904" s="10" t="s">
        <v>26</v>
      </c>
      <c r="F904" s="12">
        <v>16954.0</v>
      </c>
      <c r="G904" s="13">
        <v>1343.0</v>
      </c>
      <c r="H904" s="13">
        <v>86.0</v>
      </c>
      <c r="I904" s="14">
        <v>14547.89</v>
      </c>
      <c r="J904" s="13">
        <v>29349.0</v>
      </c>
      <c r="K904" s="13">
        <v>410886.0</v>
      </c>
      <c r="L904" s="10" t="s">
        <v>17</v>
      </c>
      <c r="M904" s="15">
        <f t="shared" si="1"/>
        <v>-0.1419199009</v>
      </c>
      <c r="N904" s="16">
        <v>197.14</v>
      </c>
    </row>
    <row r="905" ht="15.75" customHeight="1">
      <c r="A905" s="9" t="s">
        <v>952</v>
      </c>
      <c r="B905" s="10" t="s">
        <v>52</v>
      </c>
      <c r="C905" s="11">
        <v>46007.0</v>
      </c>
      <c r="D905" s="11">
        <v>46058.0</v>
      </c>
      <c r="E905" s="10" t="s">
        <v>16</v>
      </c>
      <c r="F905" s="12">
        <v>45050.0</v>
      </c>
      <c r="G905" s="13">
        <v>5491.0</v>
      </c>
      <c r="H905" s="13">
        <v>652.0</v>
      </c>
      <c r="I905" s="14">
        <v>60153.88</v>
      </c>
      <c r="J905" s="13">
        <v>31817.0</v>
      </c>
      <c r="K905" s="13">
        <v>413621.0</v>
      </c>
      <c r="L905" s="10" t="s">
        <v>17</v>
      </c>
      <c r="M905" s="15">
        <f t="shared" si="1"/>
        <v>0.3352692564</v>
      </c>
      <c r="N905" s="16">
        <v>69.1</v>
      </c>
    </row>
    <row r="906" ht="15.75" customHeight="1">
      <c r="A906" s="9" t="s">
        <v>953</v>
      </c>
      <c r="B906" s="10" t="s">
        <v>28</v>
      </c>
      <c r="C906" s="11">
        <v>45950.0</v>
      </c>
      <c r="D906" s="11">
        <v>45993.0</v>
      </c>
      <c r="E906" s="10" t="s">
        <v>26</v>
      </c>
      <c r="F906" s="12">
        <v>3472.0</v>
      </c>
      <c r="G906" s="13">
        <v>216.0</v>
      </c>
      <c r="H906" s="13">
        <v>7.0</v>
      </c>
      <c r="I906" s="14">
        <v>1210.29</v>
      </c>
      <c r="J906" s="13">
        <v>5770.0</v>
      </c>
      <c r="K906" s="13">
        <v>144250.0</v>
      </c>
      <c r="L906" s="10" t="s">
        <v>17</v>
      </c>
      <c r="M906" s="15">
        <f t="shared" si="1"/>
        <v>-0.6514141705</v>
      </c>
      <c r="N906" s="16">
        <v>496.0</v>
      </c>
    </row>
    <row r="907" ht="15.75" customHeight="1">
      <c r="A907" s="9" t="s">
        <v>954</v>
      </c>
      <c r="B907" s="10" t="s">
        <v>52</v>
      </c>
      <c r="C907" s="11">
        <v>46183.0</v>
      </c>
      <c r="D907" s="11">
        <v>46211.0</v>
      </c>
      <c r="E907" s="10" t="s">
        <v>26</v>
      </c>
      <c r="F907" s="12">
        <v>3154.0</v>
      </c>
      <c r="G907" s="13">
        <v>238.0</v>
      </c>
      <c r="H907" s="13">
        <v>15.0</v>
      </c>
      <c r="I907" s="14">
        <v>2423.95</v>
      </c>
      <c r="J907" s="13">
        <v>8457.0</v>
      </c>
      <c r="K907" s="13">
        <v>194511.0</v>
      </c>
      <c r="L907" s="10" t="s">
        <v>17</v>
      </c>
      <c r="M907" s="15">
        <f t="shared" si="1"/>
        <v>-0.2314679772</v>
      </c>
      <c r="N907" s="16">
        <v>210.27</v>
      </c>
    </row>
    <row r="908" ht="15.75" customHeight="1">
      <c r="A908" s="9" t="s">
        <v>955</v>
      </c>
      <c r="B908" s="10" t="s">
        <v>75</v>
      </c>
      <c r="C908" s="11">
        <v>46057.0</v>
      </c>
      <c r="D908" s="11">
        <v>46062.0</v>
      </c>
      <c r="E908" s="10" t="s">
        <v>26</v>
      </c>
      <c r="F908" s="12">
        <v>21307.0</v>
      </c>
      <c r="G908" s="13">
        <v>1237.0</v>
      </c>
      <c r="H908" s="13">
        <v>29.0</v>
      </c>
      <c r="I908" s="14">
        <v>5923.94</v>
      </c>
      <c r="J908" s="13">
        <v>34439.0</v>
      </c>
      <c r="K908" s="13">
        <v>585463.0</v>
      </c>
      <c r="L908" s="10" t="s">
        <v>17</v>
      </c>
      <c r="M908" s="15">
        <f t="shared" si="1"/>
        <v>-0.7219721218</v>
      </c>
      <c r="N908" s="16">
        <v>734.72</v>
      </c>
    </row>
    <row r="909" ht="15.75" customHeight="1">
      <c r="A909" s="9" t="s">
        <v>956</v>
      </c>
      <c r="B909" s="10" t="s">
        <v>38</v>
      </c>
      <c r="C909" s="11">
        <v>45869.0</v>
      </c>
      <c r="D909" s="11">
        <v>45917.0</v>
      </c>
      <c r="E909" s="10" t="s">
        <v>35</v>
      </c>
      <c r="F909" s="12">
        <v>858.0</v>
      </c>
      <c r="G909" s="13">
        <v>43.0</v>
      </c>
      <c r="H909" s="13">
        <v>9.0</v>
      </c>
      <c r="I909" s="14">
        <v>2138.07</v>
      </c>
      <c r="J909" s="13">
        <v>2519.0</v>
      </c>
      <c r="K909" s="13">
        <v>37785.0</v>
      </c>
      <c r="L909" s="10" t="s">
        <v>17</v>
      </c>
      <c r="M909" s="15">
        <f t="shared" si="1"/>
        <v>1.491923077</v>
      </c>
      <c r="N909" s="16">
        <v>95.33</v>
      </c>
    </row>
    <row r="910" ht="15.75" customHeight="1">
      <c r="A910" s="9" t="s">
        <v>957</v>
      </c>
      <c r="B910" s="10" t="s">
        <v>25</v>
      </c>
      <c r="C910" s="11">
        <v>46088.0</v>
      </c>
      <c r="D910" s="11">
        <v>46127.0</v>
      </c>
      <c r="E910" s="10" t="s">
        <v>26</v>
      </c>
      <c r="F910" s="12">
        <v>8592.0</v>
      </c>
      <c r="G910" s="13">
        <v>1468.0</v>
      </c>
      <c r="H910" s="13">
        <v>60.0</v>
      </c>
      <c r="I910" s="14">
        <v>6291.26</v>
      </c>
      <c r="J910" s="13">
        <v>11102.0</v>
      </c>
      <c r="K910" s="13">
        <v>166530.0</v>
      </c>
      <c r="L910" s="10" t="s">
        <v>17</v>
      </c>
      <c r="M910" s="15">
        <f t="shared" si="1"/>
        <v>-0.2677770019</v>
      </c>
      <c r="N910" s="16">
        <v>143.2</v>
      </c>
    </row>
    <row r="911" ht="15.75" customHeight="1">
      <c r="A911" s="9" t="s">
        <v>958</v>
      </c>
      <c r="B911" s="10" t="s">
        <v>58</v>
      </c>
      <c r="C911" s="11">
        <v>46054.0</v>
      </c>
      <c r="D911" s="11">
        <v>46106.0</v>
      </c>
      <c r="E911" s="10" t="s">
        <v>16</v>
      </c>
      <c r="F911" s="12">
        <v>49608.0</v>
      </c>
      <c r="G911" s="13">
        <v>2663.0</v>
      </c>
      <c r="H911" s="13">
        <v>264.0</v>
      </c>
      <c r="I911" s="14">
        <v>26123.61</v>
      </c>
      <c r="J911" s="13">
        <v>98294.0</v>
      </c>
      <c r="K911" s="13">
        <v>2064174.0</v>
      </c>
      <c r="L911" s="10" t="s">
        <v>17</v>
      </c>
      <c r="M911" s="15">
        <f t="shared" si="1"/>
        <v>-0.4733992501</v>
      </c>
      <c r="N911" s="16">
        <v>187.91</v>
      </c>
    </row>
    <row r="912" ht="15.75" customHeight="1">
      <c r="A912" s="9" t="s">
        <v>959</v>
      </c>
      <c r="B912" s="10" t="s">
        <v>25</v>
      </c>
      <c r="C912" s="11">
        <v>46004.0</v>
      </c>
      <c r="D912" s="11">
        <v>46047.0</v>
      </c>
      <c r="E912" s="10" t="s">
        <v>16</v>
      </c>
      <c r="F912" s="12">
        <v>20417.0</v>
      </c>
      <c r="G912" s="13">
        <v>1442.0</v>
      </c>
      <c r="H912" s="13">
        <v>134.0</v>
      </c>
      <c r="I912" s="14">
        <v>6530.11</v>
      </c>
      <c r="J912" s="13">
        <v>14879.0</v>
      </c>
      <c r="K912" s="13">
        <v>119032.0</v>
      </c>
      <c r="L912" s="10" t="s">
        <v>17</v>
      </c>
      <c r="M912" s="15">
        <f t="shared" si="1"/>
        <v>-0.6801630994</v>
      </c>
      <c r="N912" s="16">
        <v>152.37</v>
      </c>
    </row>
    <row r="913" ht="15.75" customHeight="1">
      <c r="A913" s="9" t="s">
        <v>960</v>
      </c>
      <c r="B913" s="10" t="s">
        <v>28</v>
      </c>
      <c r="C913" s="11">
        <v>45945.0</v>
      </c>
      <c r="D913" s="11">
        <v>45975.0</v>
      </c>
      <c r="E913" s="10" t="s">
        <v>16</v>
      </c>
      <c r="F913" s="12">
        <v>15802.0</v>
      </c>
      <c r="G913" s="13">
        <v>2802.0</v>
      </c>
      <c r="H913" s="13">
        <v>480.0</v>
      </c>
      <c r="I913" s="14">
        <v>79183.5</v>
      </c>
      <c r="J913" s="13">
        <v>15659.0</v>
      </c>
      <c r="K913" s="13">
        <v>219226.0</v>
      </c>
      <c r="L913" s="10" t="s">
        <v>17</v>
      </c>
      <c r="M913" s="15">
        <f t="shared" si="1"/>
        <v>4.010979623</v>
      </c>
      <c r="N913" s="16">
        <v>32.92</v>
      </c>
    </row>
    <row r="914" ht="15.75" customHeight="1">
      <c r="A914" s="9" t="s">
        <v>961</v>
      </c>
      <c r="B914" s="10" t="s">
        <v>75</v>
      </c>
      <c r="C914" s="11">
        <v>46044.0</v>
      </c>
      <c r="D914" s="11">
        <v>46063.0</v>
      </c>
      <c r="E914" s="10" t="s">
        <v>16</v>
      </c>
      <c r="F914" s="12">
        <v>52558.0</v>
      </c>
      <c r="G914" s="13">
        <v>2958.0</v>
      </c>
      <c r="H914" s="13">
        <v>438.0</v>
      </c>
      <c r="I914" s="14">
        <v>26601.3</v>
      </c>
      <c r="J914" s="13">
        <v>37079.0</v>
      </c>
      <c r="K914" s="13">
        <v>1001133.0</v>
      </c>
      <c r="L914" s="10" t="s">
        <v>17</v>
      </c>
      <c r="M914" s="15">
        <f t="shared" si="1"/>
        <v>-0.4938677271</v>
      </c>
      <c r="N914" s="16">
        <v>120.0</v>
      </c>
    </row>
    <row r="915" ht="15.75" customHeight="1">
      <c r="A915" s="9" t="s">
        <v>962</v>
      </c>
      <c r="B915" s="10" t="s">
        <v>30</v>
      </c>
      <c r="C915" s="11">
        <v>46200.0</v>
      </c>
      <c r="D915" s="11">
        <v>46218.0</v>
      </c>
      <c r="E915" s="10" t="s">
        <v>26</v>
      </c>
      <c r="F915" s="12">
        <v>13269.0</v>
      </c>
      <c r="G915" s="13">
        <v>2149.0</v>
      </c>
      <c r="H915" s="13">
        <v>112.0</v>
      </c>
      <c r="I915" s="14">
        <v>57546.47</v>
      </c>
      <c r="J915" s="13">
        <v>15878.0</v>
      </c>
      <c r="K915" s="13">
        <v>174658.0</v>
      </c>
      <c r="L915" s="10" t="s">
        <v>17</v>
      </c>
      <c r="M915" s="15">
        <f t="shared" si="1"/>
        <v>3.336910845</v>
      </c>
      <c r="N915" s="16">
        <v>118.47</v>
      </c>
    </row>
    <row r="916" ht="15.75" customHeight="1">
      <c r="A916" s="9" t="s">
        <v>963</v>
      </c>
      <c r="B916" s="10" t="s">
        <v>56</v>
      </c>
      <c r="C916" s="11">
        <v>45856.0</v>
      </c>
      <c r="D916" s="11">
        <v>45871.0</v>
      </c>
      <c r="E916" s="10" t="s">
        <v>35</v>
      </c>
      <c r="F916" s="12">
        <v>3299.0</v>
      </c>
      <c r="G916" s="13">
        <v>204.0</v>
      </c>
      <c r="H916" s="13">
        <v>59.0</v>
      </c>
      <c r="I916" s="14">
        <v>12023.92</v>
      </c>
      <c r="J916" s="13">
        <v>9247.0</v>
      </c>
      <c r="K916" s="13">
        <v>221928.0</v>
      </c>
      <c r="L916" s="10" t="s">
        <v>17</v>
      </c>
      <c r="M916" s="15">
        <f t="shared" si="1"/>
        <v>2.644716581</v>
      </c>
      <c r="N916" s="16">
        <v>55.92</v>
      </c>
    </row>
    <row r="917" ht="15.75" customHeight="1">
      <c r="A917" s="9" t="s">
        <v>964</v>
      </c>
      <c r="B917" s="10" t="s">
        <v>25</v>
      </c>
      <c r="C917" s="11">
        <v>45967.0</v>
      </c>
      <c r="D917" s="11">
        <v>45976.0</v>
      </c>
      <c r="E917" s="10" t="s">
        <v>16</v>
      </c>
      <c r="F917" s="12">
        <v>22240.0</v>
      </c>
      <c r="G917" s="13">
        <v>1592.0</v>
      </c>
      <c r="H917" s="13">
        <v>228.0</v>
      </c>
      <c r="I917" s="14">
        <v>17189.58</v>
      </c>
      <c r="J917" s="13">
        <v>20125.0</v>
      </c>
      <c r="K917" s="13">
        <v>261625.0</v>
      </c>
      <c r="L917" s="10" t="s">
        <v>17</v>
      </c>
      <c r="M917" s="15">
        <f t="shared" si="1"/>
        <v>-0.2270872302</v>
      </c>
      <c r="N917" s="16">
        <v>97.54</v>
      </c>
    </row>
    <row r="918" ht="15.75" customHeight="1">
      <c r="A918" s="9" t="s">
        <v>965</v>
      </c>
      <c r="B918" s="10" t="s">
        <v>38</v>
      </c>
      <c r="C918" s="11">
        <v>46030.0</v>
      </c>
      <c r="D918" s="11">
        <v>46038.0</v>
      </c>
      <c r="E918" s="10" t="s">
        <v>26</v>
      </c>
      <c r="F918" s="12">
        <v>18753.0</v>
      </c>
      <c r="G918" s="13">
        <v>2691.0</v>
      </c>
      <c r="H918" s="13">
        <v>189.0</v>
      </c>
      <c r="I918" s="14">
        <v>279.87</v>
      </c>
      <c r="J918" s="13">
        <v>24164.0</v>
      </c>
      <c r="K918" s="13">
        <v>604100.0</v>
      </c>
      <c r="L918" s="10" t="s">
        <v>17</v>
      </c>
      <c r="M918" s="15">
        <f t="shared" si="1"/>
        <v>-0.9850759878</v>
      </c>
      <c r="N918" s="16">
        <v>99.22</v>
      </c>
    </row>
    <row r="919" ht="15.75" customHeight="1">
      <c r="A919" s="9" t="s">
        <v>966</v>
      </c>
      <c r="B919" s="10" t="s">
        <v>47</v>
      </c>
      <c r="C919" s="11">
        <v>45874.0</v>
      </c>
      <c r="D919" s="11">
        <v>45913.0</v>
      </c>
      <c r="E919" s="10" t="s">
        <v>35</v>
      </c>
      <c r="F919" s="12">
        <v>3752.0</v>
      </c>
      <c r="G919" s="13">
        <v>281.0</v>
      </c>
      <c r="H919" s="13">
        <v>39.0</v>
      </c>
      <c r="I919" s="14">
        <v>14144.17</v>
      </c>
      <c r="J919" s="13">
        <v>7728.0</v>
      </c>
      <c r="K919" s="13">
        <v>200928.0</v>
      </c>
      <c r="L919" s="10" t="s">
        <v>17</v>
      </c>
      <c r="M919" s="15">
        <f t="shared" si="1"/>
        <v>2.769768124</v>
      </c>
      <c r="N919" s="16">
        <v>96.21</v>
      </c>
    </row>
    <row r="920" ht="15.75" customHeight="1">
      <c r="A920" s="9" t="s">
        <v>967</v>
      </c>
      <c r="B920" s="10" t="s">
        <v>30</v>
      </c>
      <c r="C920" s="11">
        <v>45936.0</v>
      </c>
      <c r="D920" s="11">
        <v>45987.0</v>
      </c>
      <c r="E920" s="10" t="s">
        <v>16</v>
      </c>
      <c r="F920" s="12">
        <v>58032.0</v>
      </c>
      <c r="G920" s="13">
        <v>8841.0</v>
      </c>
      <c r="H920" s="13">
        <v>481.0</v>
      </c>
      <c r="I920" s="14">
        <v>32192.24</v>
      </c>
      <c r="J920" s="13">
        <v>60991.0</v>
      </c>
      <c r="K920" s="13">
        <v>1707748.0</v>
      </c>
      <c r="L920" s="10" t="s">
        <v>17</v>
      </c>
      <c r="M920" s="15">
        <f t="shared" si="1"/>
        <v>-0.4452674387</v>
      </c>
      <c r="N920" s="16">
        <v>120.65</v>
      </c>
    </row>
    <row r="921" ht="15.75" customHeight="1">
      <c r="A921" s="9" t="s">
        <v>968</v>
      </c>
      <c r="B921" s="10" t="s">
        <v>56</v>
      </c>
      <c r="C921" s="11">
        <v>45993.0</v>
      </c>
      <c r="D921" s="11">
        <v>46014.0</v>
      </c>
      <c r="E921" s="10" t="s">
        <v>35</v>
      </c>
      <c r="F921" s="12">
        <v>1879.0</v>
      </c>
      <c r="G921" s="13">
        <v>130.0</v>
      </c>
      <c r="H921" s="13">
        <v>17.0</v>
      </c>
      <c r="I921" s="14">
        <v>810.37</v>
      </c>
      <c r="J921" s="13">
        <v>9372.0</v>
      </c>
      <c r="K921" s="13">
        <v>271788.0</v>
      </c>
      <c r="L921" s="10" t="s">
        <v>17</v>
      </c>
      <c r="M921" s="15">
        <f t="shared" si="1"/>
        <v>-0.5687227249</v>
      </c>
      <c r="N921" s="16">
        <v>110.53</v>
      </c>
    </row>
    <row r="922" ht="15.75" customHeight="1">
      <c r="A922" s="9" t="s">
        <v>969</v>
      </c>
      <c r="B922" s="10" t="s">
        <v>28</v>
      </c>
      <c r="C922" s="11">
        <v>46081.0</v>
      </c>
      <c r="D922" s="11">
        <v>46140.0</v>
      </c>
      <c r="E922" s="10" t="s">
        <v>35</v>
      </c>
      <c r="F922" s="12">
        <v>2276.0</v>
      </c>
      <c r="G922" s="13">
        <v>153.0</v>
      </c>
      <c r="H922" s="13">
        <v>26.0</v>
      </c>
      <c r="I922" s="14">
        <v>3235.4</v>
      </c>
      <c r="J922" s="13">
        <v>14413.0</v>
      </c>
      <c r="K922" s="13">
        <v>403564.0</v>
      </c>
      <c r="L922" s="10" t="s">
        <v>17</v>
      </c>
      <c r="M922" s="15">
        <f t="shared" si="1"/>
        <v>0.4215289982</v>
      </c>
      <c r="N922" s="16">
        <v>87.54</v>
      </c>
    </row>
    <row r="923" ht="15.75" customHeight="1">
      <c r="A923" s="9" t="s">
        <v>970</v>
      </c>
      <c r="B923" s="10" t="s">
        <v>28</v>
      </c>
      <c r="C923" s="11">
        <v>45885.0</v>
      </c>
      <c r="D923" s="11">
        <v>45898.0</v>
      </c>
      <c r="E923" s="10" t="s">
        <v>16</v>
      </c>
      <c r="F923" s="12">
        <v>59784.0</v>
      </c>
      <c r="G923" s="13">
        <v>3005.0</v>
      </c>
      <c r="H923" s="13">
        <v>318.0</v>
      </c>
      <c r="I923" s="14">
        <v>57334.26</v>
      </c>
      <c r="J923" s="13">
        <v>43295.0</v>
      </c>
      <c r="K923" s="13">
        <v>1039080.0</v>
      </c>
      <c r="L923" s="10" t="s">
        <v>17</v>
      </c>
      <c r="M923" s="15">
        <f t="shared" si="1"/>
        <v>-0.04097651546</v>
      </c>
      <c r="N923" s="16">
        <v>188.0</v>
      </c>
    </row>
    <row r="924" ht="15.75" customHeight="1">
      <c r="A924" s="9" t="s">
        <v>971</v>
      </c>
      <c r="B924" s="10" t="s">
        <v>75</v>
      </c>
      <c r="C924" s="11">
        <v>46129.0</v>
      </c>
      <c r="D924" s="11">
        <v>46140.0</v>
      </c>
      <c r="E924" s="10" t="s">
        <v>26</v>
      </c>
      <c r="F924" s="12">
        <v>5309.0</v>
      </c>
      <c r="G924" s="13">
        <v>507.0</v>
      </c>
      <c r="H924" s="13">
        <v>23.0</v>
      </c>
      <c r="I924" s="14">
        <v>4327.01</v>
      </c>
      <c r="J924" s="13">
        <v>16276.0</v>
      </c>
      <c r="K924" s="13">
        <v>439452.0</v>
      </c>
      <c r="L924" s="10" t="s">
        <v>17</v>
      </c>
      <c r="M924" s="15">
        <f t="shared" si="1"/>
        <v>-0.1849670371</v>
      </c>
      <c r="N924" s="16">
        <v>230.83</v>
      </c>
    </row>
    <row r="925" ht="15.75" customHeight="1">
      <c r="A925" s="9" t="s">
        <v>972</v>
      </c>
      <c r="B925" s="10" t="s">
        <v>15</v>
      </c>
      <c r="C925" s="11">
        <v>45843.0</v>
      </c>
      <c r="D925" s="11">
        <v>45856.0</v>
      </c>
      <c r="E925" s="10" t="s">
        <v>26</v>
      </c>
      <c r="F925" s="12">
        <v>4660.0</v>
      </c>
      <c r="G925" s="13">
        <v>298.0</v>
      </c>
      <c r="H925" s="13">
        <v>299.0</v>
      </c>
      <c r="I925" s="14">
        <v>4086.39</v>
      </c>
      <c r="J925" s="13">
        <v>11106.0</v>
      </c>
      <c r="K925" s="13">
        <v>155484.0</v>
      </c>
      <c r="L925" s="10" t="s">
        <v>17</v>
      </c>
      <c r="M925" s="15">
        <f t="shared" si="1"/>
        <v>-0.1230922747</v>
      </c>
      <c r="N925" s="16">
        <v>15.59</v>
      </c>
    </row>
    <row r="926" ht="15.75" customHeight="1">
      <c r="A926" s="9" t="s">
        <v>973</v>
      </c>
      <c r="B926" s="10" t="s">
        <v>38</v>
      </c>
      <c r="C926" s="11">
        <v>46045.0</v>
      </c>
      <c r="D926" s="11">
        <v>46077.0</v>
      </c>
      <c r="E926" s="10" t="s">
        <v>35</v>
      </c>
      <c r="F926" s="12">
        <v>2760.0</v>
      </c>
      <c r="G926" s="13">
        <v>680.0</v>
      </c>
      <c r="H926" s="13">
        <v>148.0</v>
      </c>
      <c r="I926" s="14">
        <v>1913.57</v>
      </c>
      <c r="J926" s="13">
        <v>7576.0</v>
      </c>
      <c r="K926" s="13">
        <v>60608.0</v>
      </c>
      <c r="L926" s="10" t="s">
        <v>17</v>
      </c>
      <c r="M926" s="15">
        <f t="shared" si="1"/>
        <v>-0.3066775362</v>
      </c>
      <c r="N926" s="16">
        <v>18.65</v>
      </c>
    </row>
    <row r="927" ht="15.75" customHeight="1">
      <c r="A927" s="9" t="s">
        <v>974</v>
      </c>
      <c r="B927" s="10" t="s">
        <v>75</v>
      </c>
      <c r="C927" s="11">
        <v>46160.0</v>
      </c>
      <c r="D927" s="11">
        <v>46172.0</v>
      </c>
      <c r="E927" s="10" t="s">
        <v>16</v>
      </c>
      <c r="F927" s="12">
        <v>22407.0</v>
      </c>
      <c r="G927" s="13">
        <v>1182.0</v>
      </c>
      <c r="H927" s="13">
        <v>80.0</v>
      </c>
      <c r="I927" s="14">
        <v>14395.85</v>
      </c>
      <c r="J927" s="13">
        <v>22531.0</v>
      </c>
      <c r="K927" s="13">
        <v>608337.0</v>
      </c>
      <c r="L927" s="10" t="s">
        <v>17</v>
      </c>
      <c r="M927" s="15">
        <f t="shared" si="1"/>
        <v>-0.3575288972</v>
      </c>
      <c r="N927" s="16">
        <v>280.09</v>
      </c>
    </row>
    <row r="928" ht="15.75" customHeight="1">
      <c r="A928" s="9" t="s">
        <v>975</v>
      </c>
      <c r="B928" s="10" t="s">
        <v>15</v>
      </c>
      <c r="C928" s="11">
        <v>45881.0</v>
      </c>
      <c r="D928" s="11">
        <v>45938.0</v>
      </c>
      <c r="E928" s="10" t="s">
        <v>26</v>
      </c>
      <c r="F928" s="12">
        <v>20444.0</v>
      </c>
      <c r="G928" s="13">
        <v>2001.0</v>
      </c>
      <c r="H928" s="13">
        <v>91.0</v>
      </c>
      <c r="I928" s="14">
        <v>4267.11</v>
      </c>
      <c r="J928" s="13">
        <v>22715.0</v>
      </c>
      <c r="K928" s="13">
        <v>340725.0</v>
      </c>
      <c r="L928" s="10" t="s">
        <v>17</v>
      </c>
      <c r="M928" s="15">
        <f t="shared" si="1"/>
        <v>-0.7912781256</v>
      </c>
      <c r="N928" s="16">
        <v>224.66</v>
      </c>
    </row>
    <row r="929" ht="15.75" customHeight="1">
      <c r="A929" s="9" t="s">
        <v>976</v>
      </c>
      <c r="B929" s="10" t="s">
        <v>25</v>
      </c>
      <c r="C929" s="11">
        <v>45874.0</v>
      </c>
      <c r="D929" s="11">
        <v>45908.0</v>
      </c>
      <c r="E929" s="10" t="s">
        <v>26</v>
      </c>
      <c r="F929" s="12">
        <v>11087.0</v>
      </c>
      <c r="G929" s="13">
        <v>965.0</v>
      </c>
      <c r="H929" s="13">
        <v>59.0</v>
      </c>
      <c r="I929" s="14">
        <v>10420.54</v>
      </c>
      <c r="J929" s="13">
        <v>13153.0</v>
      </c>
      <c r="K929" s="13">
        <v>249907.0</v>
      </c>
      <c r="L929" s="10" t="s">
        <v>17</v>
      </c>
      <c r="M929" s="15">
        <f t="shared" si="1"/>
        <v>-0.0601118427</v>
      </c>
      <c r="N929" s="16">
        <v>187.92</v>
      </c>
    </row>
    <row r="930" ht="15.75" customHeight="1">
      <c r="A930" s="9" t="s">
        <v>977</v>
      </c>
      <c r="B930" s="10" t="s">
        <v>28</v>
      </c>
      <c r="C930" s="11">
        <v>46125.0</v>
      </c>
      <c r="D930" s="11">
        <v>46136.0</v>
      </c>
      <c r="E930" s="10" t="s">
        <v>16</v>
      </c>
      <c r="F930" s="12">
        <v>43153.0</v>
      </c>
      <c r="G930" s="13">
        <v>7365.0</v>
      </c>
      <c r="H930" s="13">
        <v>1039.0</v>
      </c>
      <c r="I930" s="14">
        <v>109146.51</v>
      </c>
      <c r="J930" s="13">
        <v>71070.0</v>
      </c>
      <c r="K930" s="13">
        <v>1208190.0</v>
      </c>
      <c r="L930" s="10" t="s">
        <v>17</v>
      </c>
      <c r="M930" s="15">
        <f t="shared" si="1"/>
        <v>1.529291359</v>
      </c>
      <c r="N930" s="16">
        <v>41.53</v>
      </c>
    </row>
    <row r="931" ht="15.75" customHeight="1">
      <c r="A931" s="9" t="s">
        <v>978</v>
      </c>
      <c r="B931" s="10" t="s">
        <v>30</v>
      </c>
      <c r="C931" s="11">
        <v>46160.0</v>
      </c>
      <c r="D931" s="11">
        <v>46190.0</v>
      </c>
      <c r="E931" s="10" t="s">
        <v>16</v>
      </c>
      <c r="F931" s="12">
        <v>11498.0</v>
      </c>
      <c r="G931" s="13">
        <v>794.0</v>
      </c>
      <c r="H931" s="13">
        <v>75.0</v>
      </c>
      <c r="I931" s="14">
        <v>17045.02</v>
      </c>
      <c r="J931" s="13">
        <v>18394.0</v>
      </c>
      <c r="K931" s="13">
        <v>275910.0</v>
      </c>
      <c r="L931" s="10" t="s">
        <v>17</v>
      </c>
      <c r="M931" s="15">
        <f t="shared" si="1"/>
        <v>0.4824334667</v>
      </c>
      <c r="N931" s="16">
        <v>153.31</v>
      </c>
    </row>
    <row r="932" ht="15.75" customHeight="1">
      <c r="A932" s="9" t="s">
        <v>979</v>
      </c>
      <c r="B932" s="10" t="s">
        <v>58</v>
      </c>
      <c r="C932" s="11">
        <v>45862.0</v>
      </c>
      <c r="D932" s="11">
        <v>45921.0</v>
      </c>
      <c r="E932" s="10" t="s">
        <v>26</v>
      </c>
      <c r="F932" s="12">
        <v>12509.0</v>
      </c>
      <c r="G932" s="13">
        <v>636.0</v>
      </c>
      <c r="H932" s="13">
        <v>37.0</v>
      </c>
      <c r="I932" s="14">
        <v>4077.62</v>
      </c>
      <c r="J932" s="13">
        <v>14957.0</v>
      </c>
      <c r="K932" s="13">
        <v>149570.0</v>
      </c>
      <c r="L932" s="10" t="s">
        <v>17</v>
      </c>
      <c r="M932" s="15">
        <f t="shared" si="1"/>
        <v>-0.6740251019</v>
      </c>
      <c r="N932" s="16">
        <v>338.08</v>
      </c>
    </row>
    <row r="933" ht="15.75" customHeight="1">
      <c r="A933" s="9" t="s">
        <v>980</v>
      </c>
      <c r="B933" s="10" t="s">
        <v>25</v>
      </c>
      <c r="C933" s="11">
        <v>45943.0</v>
      </c>
      <c r="D933" s="11">
        <v>45992.0</v>
      </c>
      <c r="E933" s="10" t="s">
        <v>35</v>
      </c>
      <c r="F933" s="12">
        <v>3332.0</v>
      </c>
      <c r="G933" s="13">
        <v>429.0</v>
      </c>
      <c r="H933" s="13">
        <v>85.0</v>
      </c>
      <c r="I933" s="14">
        <v>11965.17</v>
      </c>
      <c r="J933" s="13">
        <v>16485.0</v>
      </c>
      <c r="K933" s="13">
        <v>181335.0</v>
      </c>
      <c r="L933" s="10" t="s">
        <v>17</v>
      </c>
      <c r="M933" s="15">
        <f t="shared" si="1"/>
        <v>2.590987395</v>
      </c>
      <c r="N933" s="16">
        <v>39.2</v>
      </c>
    </row>
    <row r="934" ht="15.75" customHeight="1">
      <c r="A934" s="9" t="s">
        <v>981</v>
      </c>
      <c r="B934" s="10" t="s">
        <v>19</v>
      </c>
      <c r="C934" s="11">
        <v>45840.0</v>
      </c>
      <c r="D934" s="11">
        <v>45875.0</v>
      </c>
      <c r="E934" s="10" t="s">
        <v>26</v>
      </c>
      <c r="F934" s="12">
        <v>15344.0</v>
      </c>
      <c r="G934" s="13">
        <v>1504.0</v>
      </c>
      <c r="H934" s="13">
        <v>106.0</v>
      </c>
      <c r="I934" s="14">
        <v>12106.62</v>
      </c>
      <c r="J934" s="13">
        <v>21247.0</v>
      </c>
      <c r="K934" s="13">
        <v>573669.0</v>
      </c>
      <c r="L934" s="10" t="s">
        <v>17</v>
      </c>
      <c r="M934" s="15">
        <f t="shared" si="1"/>
        <v>-0.2109867049</v>
      </c>
      <c r="N934" s="16">
        <v>144.75</v>
      </c>
    </row>
    <row r="935" ht="15.75" customHeight="1">
      <c r="A935" s="9" t="s">
        <v>982</v>
      </c>
      <c r="B935" s="10" t="s">
        <v>25</v>
      </c>
      <c r="C935" s="11">
        <v>45977.0</v>
      </c>
      <c r="D935" s="11">
        <v>46030.0</v>
      </c>
      <c r="E935" s="10" t="s">
        <v>16</v>
      </c>
      <c r="F935" s="12">
        <v>47864.0</v>
      </c>
      <c r="G935" s="13">
        <v>9050.0</v>
      </c>
      <c r="H935" s="13">
        <v>797.0</v>
      </c>
      <c r="I935" s="14">
        <v>147488.79</v>
      </c>
      <c r="J935" s="13">
        <v>49493.0</v>
      </c>
      <c r="K935" s="13">
        <v>841381.0</v>
      </c>
      <c r="L935" s="10" t="s">
        <v>17</v>
      </c>
      <c r="M935" s="15">
        <f t="shared" si="1"/>
        <v>2.081413797</v>
      </c>
      <c r="N935" s="16">
        <v>60.06</v>
      </c>
    </row>
    <row r="936" ht="15.75" customHeight="1">
      <c r="A936" s="9" t="s">
        <v>983</v>
      </c>
      <c r="B936" s="10" t="s">
        <v>75</v>
      </c>
      <c r="C936" s="11">
        <v>45999.0</v>
      </c>
      <c r="D936" s="11">
        <v>46057.0</v>
      </c>
      <c r="E936" s="10" t="s">
        <v>26</v>
      </c>
      <c r="F936" s="12">
        <v>11408.0</v>
      </c>
      <c r="G936" s="13">
        <v>1279.0</v>
      </c>
      <c r="H936" s="13">
        <v>87.0</v>
      </c>
      <c r="I936" s="14">
        <v>11142.41</v>
      </c>
      <c r="J936" s="13">
        <v>23543.0</v>
      </c>
      <c r="K936" s="13">
        <v>659204.0</v>
      </c>
      <c r="L936" s="10" t="s">
        <v>17</v>
      </c>
      <c r="M936" s="15">
        <f t="shared" si="1"/>
        <v>-0.02328103086</v>
      </c>
      <c r="N936" s="16">
        <v>131.13</v>
      </c>
    </row>
    <row r="937" ht="15.75" customHeight="1">
      <c r="A937" s="9" t="s">
        <v>984</v>
      </c>
      <c r="B937" s="10" t="s">
        <v>15</v>
      </c>
      <c r="C937" s="11">
        <v>45970.0</v>
      </c>
      <c r="D937" s="11">
        <v>46009.0</v>
      </c>
      <c r="E937" s="10" t="s">
        <v>26</v>
      </c>
      <c r="F937" s="12">
        <v>8138.0</v>
      </c>
      <c r="G937" s="13">
        <v>540.0</v>
      </c>
      <c r="H937" s="13">
        <v>11.0</v>
      </c>
      <c r="I937" s="14">
        <v>2129.81</v>
      </c>
      <c r="J937" s="13">
        <v>15075.0</v>
      </c>
      <c r="K937" s="13">
        <v>211050.0</v>
      </c>
      <c r="L937" s="10" t="s">
        <v>17</v>
      </c>
      <c r="M937" s="15">
        <f t="shared" si="1"/>
        <v>-0.7382882772</v>
      </c>
      <c r="N937" s="16">
        <v>739.82</v>
      </c>
    </row>
    <row r="938" ht="15.75" customHeight="1">
      <c r="A938" s="9" t="s">
        <v>985</v>
      </c>
      <c r="B938" s="10" t="s">
        <v>38</v>
      </c>
      <c r="C938" s="11">
        <v>46181.0</v>
      </c>
      <c r="D938" s="11">
        <v>46211.0</v>
      </c>
      <c r="E938" s="10" t="s">
        <v>26</v>
      </c>
      <c r="F938" s="12">
        <v>10151.0</v>
      </c>
      <c r="G938" s="13">
        <v>758.0</v>
      </c>
      <c r="H938" s="13">
        <v>29.0</v>
      </c>
      <c r="I938" s="14">
        <v>3115.84</v>
      </c>
      <c r="J938" s="13">
        <v>20204.0</v>
      </c>
      <c r="K938" s="13">
        <v>525304.0</v>
      </c>
      <c r="L938" s="10" t="s">
        <v>17</v>
      </c>
      <c r="M938" s="15">
        <f t="shared" si="1"/>
        <v>-0.6930509309</v>
      </c>
      <c r="N938" s="16">
        <v>350.03</v>
      </c>
    </row>
    <row r="939" ht="15.75" customHeight="1">
      <c r="A939" s="9" t="s">
        <v>986</v>
      </c>
      <c r="B939" s="10" t="s">
        <v>28</v>
      </c>
      <c r="C939" s="11">
        <v>45848.0</v>
      </c>
      <c r="D939" s="11">
        <v>45873.0</v>
      </c>
      <c r="E939" s="10" t="s">
        <v>26</v>
      </c>
      <c r="F939" s="12">
        <v>5722.0</v>
      </c>
      <c r="G939" s="13">
        <v>828.0</v>
      </c>
      <c r="H939" s="13">
        <v>57.0</v>
      </c>
      <c r="I939" s="14">
        <v>4745.92</v>
      </c>
      <c r="J939" s="13">
        <v>6387.0</v>
      </c>
      <c r="K939" s="13">
        <v>83031.0</v>
      </c>
      <c r="L939" s="10" t="s">
        <v>17</v>
      </c>
      <c r="M939" s="15">
        <f t="shared" si="1"/>
        <v>-0.170583712</v>
      </c>
      <c r="N939" s="16">
        <v>100.39</v>
      </c>
    </row>
    <row r="940" ht="15.75" customHeight="1">
      <c r="A940" s="9" t="s">
        <v>987</v>
      </c>
      <c r="B940" s="10" t="s">
        <v>47</v>
      </c>
      <c r="C940" s="11">
        <v>46109.0</v>
      </c>
      <c r="D940" s="11">
        <v>46139.0</v>
      </c>
      <c r="E940" s="10" t="s">
        <v>26</v>
      </c>
      <c r="F940" s="12">
        <v>2637.0</v>
      </c>
      <c r="G940" s="13">
        <v>420.0</v>
      </c>
      <c r="H940" s="13">
        <v>29.0</v>
      </c>
      <c r="I940" s="14">
        <v>5156.04</v>
      </c>
      <c r="J940" s="13">
        <v>5941.0</v>
      </c>
      <c r="K940" s="13">
        <v>178230.0</v>
      </c>
      <c r="L940" s="10" t="s">
        <v>17</v>
      </c>
      <c r="M940" s="15">
        <f t="shared" si="1"/>
        <v>0.9552673493</v>
      </c>
      <c r="N940" s="16">
        <v>90.93</v>
      </c>
    </row>
    <row r="941" ht="15.75" customHeight="1">
      <c r="A941" s="9" t="s">
        <v>988</v>
      </c>
      <c r="B941" s="10" t="s">
        <v>38</v>
      </c>
      <c r="C941" s="11">
        <v>45864.0</v>
      </c>
      <c r="D941" s="11">
        <v>45872.0</v>
      </c>
      <c r="E941" s="10" t="s">
        <v>16</v>
      </c>
      <c r="F941" s="12">
        <v>12863.0</v>
      </c>
      <c r="G941" s="13">
        <v>3054.0</v>
      </c>
      <c r="H941" s="13">
        <v>473.0</v>
      </c>
      <c r="I941" s="14">
        <v>12589.05</v>
      </c>
      <c r="J941" s="13">
        <v>24158.0</v>
      </c>
      <c r="K941" s="13">
        <v>265738.0</v>
      </c>
      <c r="L941" s="10" t="s">
        <v>17</v>
      </c>
      <c r="M941" s="15">
        <f t="shared" si="1"/>
        <v>-0.02129752002</v>
      </c>
      <c r="N941" s="16">
        <v>27.19</v>
      </c>
    </row>
    <row r="942" ht="15.75" customHeight="1">
      <c r="A942" s="9" t="s">
        <v>989</v>
      </c>
      <c r="B942" s="10" t="s">
        <v>62</v>
      </c>
      <c r="C942" s="11">
        <v>45892.0</v>
      </c>
      <c r="D942" s="11">
        <v>45951.0</v>
      </c>
      <c r="E942" s="10" t="s">
        <v>26</v>
      </c>
      <c r="F942" s="12">
        <v>23155.0</v>
      </c>
      <c r="G942" s="13">
        <v>3568.0</v>
      </c>
      <c r="H942" s="13">
        <v>233.0</v>
      </c>
      <c r="I942" s="14">
        <v>48768.68</v>
      </c>
      <c r="J942" s="13">
        <v>27882.0</v>
      </c>
      <c r="K942" s="13">
        <v>446112.0</v>
      </c>
      <c r="L942" s="10" t="s">
        <v>17</v>
      </c>
      <c r="M942" s="15">
        <f t="shared" si="1"/>
        <v>1.106183546</v>
      </c>
      <c r="N942" s="16">
        <v>99.38</v>
      </c>
    </row>
    <row r="943" ht="15.75" customHeight="1">
      <c r="A943" s="9" t="s">
        <v>990</v>
      </c>
      <c r="B943" s="10" t="s">
        <v>19</v>
      </c>
      <c r="C943" s="11">
        <v>46107.0</v>
      </c>
      <c r="D943" s="11">
        <v>46131.0</v>
      </c>
      <c r="E943" s="10" t="s">
        <v>16</v>
      </c>
      <c r="F943" s="12">
        <v>30898.0</v>
      </c>
      <c r="G943" s="13">
        <v>5904.0</v>
      </c>
      <c r="H943" s="13">
        <v>1002.0</v>
      </c>
      <c r="I943" s="14">
        <v>203961.29</v>
      </c>
      <c r="J943" s="13">
        <v>27375.0</v>
      </c>
      <c r="K943" s="13">
        <v>355875.0</v>
      </c>
      <c r="L943" s="10" t="s">
        <v>17</v>
      </c>
      <c r="M943" s="15">
        <f t="shared" si="1"/>
        <v>5.601116253</v>
      </c>
      <c r="N943" s="16">
        <v>30.84</v>
      </c>
    </row>
    <row r="944" ht="15.75" customHeight="1">
      <c r="A944" s="9" t="s">
        <v>991</v>
      </c>
      <c r="B944" s="10" t="s">
        <v>62</v>
      </c>
      <c r="C944" s="11">
        <v>46080.0</v>
      </c>
      <c r="D944" s="11">
        <v>46091.0</v>
      </c>
      <c r="E944" s="10" t="s">
        <v>35</v>
      </c>
      <c r="F944" s="12">
        <v>4633.0</v>
      </c>
      <c r="G944" s="13">
        <v>607.0</v>
      </c>
      <c r="H944" s="13">
        <v>133.0</v>
      </c>
      <c r="I944" s="14">
        <v>48649.86</v>
      </c>
      <c r="J944" s="13">
        <v>27303.0</v>
      </c>
      <c r="K944" s="13">
        <v>627969.0</v>
      </c>
      <c r="L944" s="10" t="s">
        <v>17</v>
      </c>
      <c r="M944" s="15">
        <f t="shared" si="1"/>
        <v>9.500725232</v>
      </c>
      <c r="N944" s="16">
        <v>34.83</v>
      </c>
    </row>
    <row r="945" ht="15.75" customHeight="1">
      <c r="A945" s="9" t="s">
        <v>992</v>
      </c>
      <c r="B945" s="10" t="s">
        <v>58</v>
      </c>
      <c r="C945" s="11">
        <v>46140.0</v>
      </c>
      <c r="D945" s="11">
        <v>46183.0</v>
      </c>
      <c r="E945" s="10" t="s">
        <v>16</v>
      </c>
      <c r="F945" s="12">
        <v>32178.0</v>
      </c>
      <c r="G945" s="13">
        <v>5426.0</v>
      </c>
      <c r="H945" s="13">
        <v>448.0</v>
      </c>
      <c r="I945" s="14">
        <v>34851.17</v>
      </c>
      <c r="J945" s="13">
        <v>32489.0</v>
      </c>
      <c r="K945" s="13">
        <v>259912.0</v>
      </c>
      <c r="L945" s="10" t="s">
        <v>17</v>
      </c>
      <c r="M945" s="15">
        <f t="shared" si="1"/>
        <v>0.08307446081</v>
      </c>
      <c r="N945" s="16">
        <v>71.83</v>
      </c>
    </row>
    <row r="946" ht="15.75" customHeight="1">
      <c r="A946" s="9" t="s">
        <v>993</v>
      </c>
      <c r="B946" s="10" t="s">
        <v>38</v>
      </c>
      <c r="C946" s="11">
        <v>46026.0</v>
      </c>
      <c r="D946" s="11">
        <v>46079.0</v>
      </c>
      <c r="E946" s="10" t="s">
        <v>35</v>
      </c>
      <c r="F946" s="12">
        <v>3682.0</v>
      </c>
      <c r="G946" s="13">
        <v>817.0</v>
      </c>
      <c r="H946" s="13">
        <v>157.0</v>
      </c>
      <c r="I946" s="14">
        <v>11198.67</v>
      </c>
      <c r="J946" s="13">
        <v>7520.0</v>
      </c>
      <c r="K946" s="13">
        <v>150400.0</v>
      </c>
      <c r="L946" s="10" t="s">
        <v>17</v>
      </c>
      <c r="M946" s="15">
        <f t="shared" si="1"/>
        <v>2.041463878</v>
      </c>
      <c r="N946" s="16">
        <v>23.45</v>
      </c>
    </row>
    <row r="947" ht="15.75" customHeight="1">
      <c r="A947" s="9" t="s">
        <v>994</v>
      </c>
      <c r="B947" s="10" t="s">
        <v>75</v>
      </c>
      <c r="C947" s="11">
        <v>46035.0</v>
      </c>
      <c r="D947" s="11">
        <v>46076.0</v>
      </c>
      <c r="E947" s="10" t="s">
        <v>16</v>
      </c>
      <c r="F947" s="12">
        <v>50836.0</v>
      </c>
      <c r="G947" s="13">
        <v>2896.0</v>
      </c>
      <c r="H947" s="13">
        <v>432.0</v>
      </c>
      <c r="I947" s="14">
        <v>25889.24</v>
      </c>
      <c r="J947" s="13">
        <v>48346.0</v>
      </c>
      <c r="K947" s="13">
        <v>1450380.0</v>
      </c>
      <c r="L947" s="10" t="s">
        <v>17</v>
      </c>
      <c r="M947" s="15">
        <f t="shared" si="1"/>
        <v>-0.4907301912</v>
      </c>
      <c r="N947" s="16">
        <v>117.68</v>
      </c>
    </row>
    <row r="948" ht="15.75" customHeight="1">
      <c r="A948" s="9" t="s">
        <v>995</v>
      </c>
      <c r="B948" s="10" t="s">
        <v>75</v>
      </c>
      <c r="C948" s="11">
        <v>45956.0</v>
      </c>
      <c r="D948" s="11">
        <v>45961.0</v>
      </c>
      <c r="E948" s="10" t="s">
        <v>26</v>
      </c>
      <c r="F948" s="12">
        <v>7328.0</v>
      </c>
      <c r="G948" s="13">
        <v>730.0</v>
      </c>
      <c r="H948" s="13">
        <v>19.0</v>
      </c>
      <c r="I948" s="14">
        <v>3512.89</v>
      </c>
      <c r="J948" s="13">
        <v>8652.0</v>
      </c>
      <c r="K948" s="13">
        <v>129780.0</v>
      </c>
      <c r="L948" s="10" t="s">
        <v>17</v>
      </c>
      <c r="M948" s="15">
        <f t="shared" si="1"/>
        <v>-0.5206209061</v>
      </c>
      <c r="N948" s="16">
        <v>385.68</v>
      </c>
    </row>
    <row r="949" ht="15.75" customHeight="1">
      <c r="A949" s="9" t="s">
        <v>996</v>
      </c>
      <c r="B949" s="10" t="s">
        <v>56</v>
      </c>
      <c r="C949" s="11">
        <v>46120.0</v>
      </c>
      <c r="D949" s="11">
        <v>46128.0</v>
      </c>
      <c r="E949" s="10" t="s">
        <v>26</v>
      </c>
      <c r="F949" s="12">
        <v>5562.0</v>
      </c>
      <c r="G949" s="13">
        <v>943.0</v>
      </c>
      <c r="H949" s="13">
        <v>19.0</v>
      </c>
      <c r="I949" s="14">
        <v>3803.61</v>
      </c>
      <c r="J949" s="13">
        <v>17927.0</v>
      </c>
      <c r="K949" s="13">
        <v>466102.0</v>
      </c>
      <c r="L949" s="10" t="s">
        <v>17</v>
      </c>
      <c r="M949" s="15">
        <f t="shared" si="1"/>
        <v>-0.3161434736</v>
      </c>
      <c r="N949" s="16">
        <v>292.74</v>
      </c>
    </row>
    <row r="950" ht="15.75" customHeight="1">
      <c r="A950" s="9" t="s">
        <v>997</v>
      </c>
      <c r="B950" s="10" t="s">
        <v>62</v>
      </c>
      <c r="C950" s="11">
        <v>46011.0</v>
      </c>
      <c r="D950" s="11">
        <v>46034.0</v>
      </c>
      <c r="E950" s="10" t="s">
        <v>26</v>
      </c>
      <c r="F950" s="12">
        <v>6142.0</v>
      </c>
      <c r="G950" s="13">
        <v>332.0</v>
      </c>
      <c r="H950" s="13">
        <v>9.0</v>
      </c>
      <c r="I950" s="14">
        <v>31750.79</v>
      </c>
      <c r="J950" s="13">
        <v>8057.0</v>
      </c>
      <c r="K950" s="13">
        <v>193368.0</v>
      </c>
      <c r="L950" s="10" t="s">
        <v>17</v>
      </c>
      <c r="M950" s="15">
        <f t="shared" si="1"/>
        <v>4.169454575</v>
      </c>
      <c r="N950" s="16">
        <v>682.44</v>
      </c>
    </row>
    <row r="951" ht="15.75" customHeight="1">
      <c r="A951" s="9" t="s">
        <v>998</v>
      </c>
      <c r="B951" s="10" t="s">
        <v>52</v>
      </c>
      <c r="C951" s="11">
        <v>46182.0</v>
      </c>
      <c r="D951" s="11">
        <v>46236.0</v>
      </c>
      <c r="E951" s="10" t="s">
        <v>26</v>
      </c>
      <c r="F951" s="12">
        <v>22113.0</v>
      </c>
      <c r="G951" s="13">
        <v>2182.0</v>
      </c>
      <c r="H951" s="13">
        <v>104.0</v>
      </c>
      <c r="I951" s="14">
        <v>8309.16</v>
      </c>
      <c r="J951" s="13">
        <v>50688.0</v>
      </c>
      <c r="K951" s="13">
        <v>1064448.0</v>
      </c>
      <c r="L951" s="10" t="s">
        <v>17</v>
      </c>
      <c r="M951" s="15">
        <f t="shared" si="1"/>
        <v>-0.6242409442</v>
      </c>
      <c r="N951" s="16">
        <v>212.63</v>
      </c>
    </row>
    <row r="952" ht="15.75" customHeight="1">
      <c r="A952" s="9" t="s">
        <v>999</v>
      </c>
      <c r="B952" s="10" t="s">
        <v>30</v>
      </c>
      <c r="C952" s="11">
        <v>45852.0</v>
      </c>
      <c r="D952" s="11">
        <v>45884.0</v>
      </c>
      <c r="E952" s="10" t="s">
        <v>16</v>
      </c>
      <c r="F952" s="12">
        <v>20341.0</v>
      </c>
      <c r="G952" s="13">
        <v>3412.0</v>
      </c>
      <c r="H952" s="13">
        <v>197.0</v>
      </c>
      <c r="I952" s="14">
        <v>20908.9</v>
      </c>
      <c r="J952" s="13">
        <v>20340.0</v>
      </c>
      <c r="K952" s="13">
        <v>589860.0</v>
      </c>
      <c r="L952" s="10" t="s">
        <v>17</v>
      </c>
      <c r="M952" s="15">
        <f t="shared" si="1"/>
        <v>0.02791898137</v>
      </c>
      <c r="N952" s="16">
        <v>103.25</v>
      </c>
    </row>
    <row r="953" ht="15.75" customHeight="1">
      <c r="A953" s="9" t="s">
        <v>1000</v>
      </c>
      <c r="B953" s="10" t="s">
        <v>15</v>
      </c>
      <c r="C953" s="11">
        <v>45971.0</v>
      </c>
      <c r="D953" s="11">
        <v>46023.0</v>
      </c>
      <c r="E953" s="10" t="s">
        <v>26</v>
      </c>
      <c r="F953" s="12">
        <v>15424.0</v>
      </c>
      <c r="G953" s="13">
        <v>2425.0</v>
      </c>
      <c r="H953" s="13">
        <v>148.0</v>
      </c>
      <c r="I953" s="14">
        <v>18845.27</v>
      </c>
      <c r="J953" s="13">
        <v>28473.0</v>
      </c>
      <c r="K953" s="13">
        <v>341676.0</v>
      </c>
      <c r="L953" s="10" t="s">
        <v>17</v>
      </c>
      <c r="M953" s="15">
        <f t="shared" si="1"/>
        <v>0.2218147044</v>
      </c>
      <c r="N953" s="16">
        <v>104.22</v>
      </c>
    </row>
    <row r="954" ht="15.75" customHeight="1">
      <c r="A954" s="9" t="s">
        <v>1001</v>
      </c>
      <c r="B954" s="10" t="s">
        <v>38</v>
      </c>
      <c r="C954" s="11">
        <v>45873.0</v>
      </c>
      <c r="D954" s="11">
        <v>45931.0</v>
      </c>
      <c r="E954" s="10" t="s">
        <v>26</v>
      </c>
      <c r="F954" s="12">
        <v>9267.0</v>
      </c>
      <c r="G954" s="13">
        <v>725.0</v>
      </c>
      <c r="H954" s="13">
        <v>55.0</v>
      </c>
      <c r="I954" s="14">
        <v>11294.92</v>
      </c>
      <c r="J954" s="13">
        <v>21807.0</v>
      </c>
      <c r="K954" s="13">
        <v>457947.0</v>
      </c>
      <c r="L954" s="10" t="s">
        <v>17</v>
      </c>
      <c r="M954" s="15">
        <f t="shared" si="1"/>
        <v>0.2188324161</v>
      </c>
      <c r="N954" s="16">
        <v>168.49</v>
      </c>
    </row>
    <row r="955" ht="15.75" customHeight="1">
      <c r="A955" s="9" t="s">
        <v>1002</v>
      </c>
      <c r="B955" s="10" t="s">
        <v>58</v>
      </c>
      <c r="C955" s="11">
        <v>45852.0</v>
      </c>
      <c r="D955" s="11">
        <v>45898.0</v>
      </c>
      <c r="E955" s="10" t="s">
        <v>26</v>
      </c>
      <c r="F955" s="12">
        <v>19697.0</v>
      </c>
      <c r="G955" s="13">
        <v>3118.0</v>
      </c>
      <c r="H955" s="13">
        <v>238.0</v>
      </c>
      <c r="I955" s="14">
        <v>19036.79</v>
      </c>
      <c r="J955" s="13">
        <v>29736.0</v>
      </c>
      <c r="K955" s="13">
        <v>475776.0</v>
      </c>
      <c r="L955" s="10" t="s">
        <v>17</v>
      </c>
      <c r="M955" s="15">
        <f t="shared" si="1"/>
        <v>-0.03351830228</v>
      </c>
      <c r="N955" s="16">
        <v>82.76</v>
      </c>
    </row>
    <row r="956" ht="15.75" customHeight="1">
      <c r="A956" s="9" t="s">
        <v>1003</v>
      </c>
      <c r="B956" s="10" t="s">
        <v>56</v>
      </c>
      <c r="C956" s="11">
        <v>46045.0</v>
      </c>
      <c r="D956" s="11">
        <v>46095.0</v>
      </c>
      <c r="E956" s="10" t="s">
        <v>16</v>
      </c>
      <c r="F956" s="12">
        <v>15535.0</v>
      </c>
      <c r="G956" s="13">
        <v>3135.0</v>
      </c>
      <c r="H956" s="13">
        <v>342.0</v>
      </c>
      <c r="I956" s="14">
        <v>29962.53</v>
      </c>
      <c r="J956" s="13">
        <v>21996.0</v>
      </c>
      <c r="K956" s="13">
        <v>417924.0</v>
      </c>
      <c r="L956" s="10" t="s">
        <v>17</v>
      </c>
      <c r="M956" s="15">
        <f t="shared" si="1"/>
        <v>0.9287112971</v>
      </c>
      <c r="N956" s="16">
        <v>45.42</v>
      </c>
    </row>
    <row r="957" ht="15.75" customHeight="1">
      <c r="A957" s="9" t="s">
        <v>1004</v>
      </c>
      <c r="B957" s="10" t="s">
        <v>52</v>
      </c>
      <c r="C957" s="11">
        <v>45930.0</v>
      </c>
      <c r="D957" s="11">
        <v>45944.0</v>
      </c>
      <c r="E957" s="10" t="s">
        <v>16</v>
      </c>
      <c r="F957" s="12">
        <v>8939.0</v>
      </c>
      <c r="G957" s="13">
        <v>448.0</v>
      </c>
      <c r="H957" s="13">
        <v>74.0</v>
      </c>
      <c r="I957" s="14">
        <v>12205.7</v>
      </c>
      <c r="J957" s="13">
        <v>7169.0</v>
      </c>
      <c r="K957" s="13">
        <v>164887.0</v>
      </c>
      <c r="L957" s="10" t="s">
        <v>17</v>
      </c>
      <c r="M957" s="15">
        <f t="shared" si="1"/>
        <v>0.3654435619</v>
      </c>
      <c r="N957" s="16">
        <v>120.8</v>
      </c>
    </row>
    <row r="958" ht="15.75" customHeight="1">
      <c r="A958" s="9" t="s">
        <v>1005</v>
      </c>
      <c r="B958" s="10" t="s">
        <v>38</v>
      </c>
      <c r="C958" s="11">
        <v>45848.0</v>
      </c>
      <c r="D958" s="11">
        <v>45864.0</v>
      </c>
      <c r="E958" s="10" t="s">
        <v>16</v>
      </c>
      <c r="F958" s="12">
        <v>59836.0</v>
      </c>
      <c r="G958" s="13">
        <v>8422.0</v>
      </c>
      <c r="H958" s="13">
        <v>1513.0</v>
      </c>
      <c r="I958" s="14">
        <v>245383.02</v>
      </c>
      <c r="J958" s="13">
        <v>66479.0</v>
      </c>
      <c r="K958" s="13">
        <v>1396059.0</v>
      </c>
      <c r="L958" s="10" t="s">
        <v>17</v>
      </c>
      <c r="M958" s="15">
        <f t="shared" si="1"/>
        <v>3.100926198</v>
      </c>
      <c r="N958" s="16">
        <v>39.55</v>
      </c>
    </row>
    <row r="959" ht="15.75" customHeight="1">
      <c r="A959" s="9" t="s">
        <v>1006</v>
      </c>
      <c r="B959" s="10" t="s">
        <v>56</v>
      </c>
      <c r="C959" s="11">
        <v>45883.0</v>
      </c>
      <c r="D959" s="11">
        <v>45896.0</v>
      </c>
      <c r="E959" s="10" t="s">
        <v>16</v>
      </c>
      <c r="F959" s="12">
        <v>44525.0</v>
      </c>
      <c r="G959" s="13">
        <v>4653.0</v>
      </c>
      <c r="H959" s="13">
        <v>303.0</v>
      </c>
      <c r="I959" s="14">
        <v>19106.74</v>
      </c>
      <c r="J959" s="13">
        <v>50162.0</v>
      </c>
      <c r="K959" s="13">
        <v>1053402.0</v>
      </c>
      <c r="L959" s="10" t="s">
        <v>17</v>
      </c>
      <c r="M959" s="15">
        <f t="shared" si="1"/>
        <v>-0.570876137</v>
      </c>
      <c r="N959" s="16">
        <v>146.95</v>
      </c>
    </row>
    <row r="960" ht="15.75" customHeight="1">
      <c r="A960" s="9" t="s">
        <v>1007</v>
      </c>
      <c r="B960" s="10" t="s">
        <v>75</v>
      </c>
      <c r="C960" s="11">
        <v>45840.0</v>
      </c>
      <c r="D960" s="11">
        <v>45869.0</v>
      </c>
      <c r="E960" s="10" t="s">
        <v>26</v>
      </c>
      <c r="F960" s="12">
        <v>18725.0</v>
      </c>
      <c r="G960" s="13">
        <v>1067.0</v>
      </c>
      <c r="H960" s="13">
        <v>84.0</v>
      </c>
      <c r="I960" s="14">
        <v>2184.0</v>
      </c>
      <c r="J960" s="13">
        <v>24896.0</v>
      </c>
      <c r="K960" s="13">
        <v>672192.0</v>
      </c>
      <c r="L960" s="10" t="s">
        <v>17</v>
      </c>
      <c r="M960" s="15">
        <f t="shared" si="1"/>
        <v>-0.883364486</v>
      </c>
      <c r="N960" s="16">
        <v>222.92</v>
      </c>
    </row>
    <row r="961" ht="15.75" customHeight="1">
      <c r="A961" s="9" t="s">
        <v>1008</v>
      </c>
      <c r="B961" s="10" t="s">
        <v>25</v>
      </c>
      <c r="C961" s="11">
        <v>45992.0</v>
      </c>
      <c r="D961" s="11">
        <v>46051.0</v>
      </c>
      <c r="E961" s="10" t="s">
        <v>35</v>
      </c>
      <c r="F961" s="12">
        <v>2751.0</v>
      </c>
      <c r="G961" s="13">
        <v>217.0</v>
      </c>
      <c r="H961" s="13">
        <v>220.0</v>
      </c>
      <c r="I961" s="14">
        <v>10106.77</v>
      </c>
      <c r="J961" s="13">
        <v>11100.0</v>
      </c>
      <c r="K961" s="13">
        <v>144300.0</v>
      </c>
      <c r="L961" s="10" t="s">
        <v>17</v>
      </c>
      <c r="M961" s="15">
        <f t="shared" si="1"/>
        <v>2.673853144</v>
      </c>
      <c r="N961" s="16">
        <v>12.5</v>
      </c>
    </row>
    <row r="962" ht="15.75" customHeight="1">
      <c r="A962" s="9" t="s">
        <v>1009</v>
      </c>
      <c r="B962" s="10" t="s">
        <v>19</v>
      </c>
      <c r="C962" s="11">
        <v>46172.0</v>
      </c>
      <c r="D962" s="11">
        <v>46226.0</v>
      </c>
      <c r="E962" s="10" t="s">
        <v>35</v>
      </c>
      <c r="F962" s="12">
        <v>23514.0</v>
      </c>
      <c r="G962" s="13">
        <v>604.0</v>
      </c>
      <c r="H962" s="13">
        <v>101.0</v>
      </c>
      <c r="I962" s="14">
        <v>18669.42</v>
      </c>
      <c r="J962" s="13">
        <v>7161.0</v>
      </c>
      <c r="K962" s="13">
        <v>107415.0</v>
      </c>
      <c r="L962" s="10" t="s">
        <v>17</v>
      </c>
      <c r="M962" s="15">
        <f t="shared" si="1"/>
        <v>-0.2060295994</v>
      </c>
      <c r="N962" s="16">
        <v>34.79</v>
      </c>
    </row>
    <row r="963" ht="15.75" customHeight="1">
      <c r="A963" s="9" t="s">
        <v>1010</v>
      </c>
      <c r="B963" s="10" t="s">
        <v>62</v>
      </c>
      <c r="C963" s="11">
        <v>45945.0</v>
      </c>
      <c r="D963" s="11">
        <v>45987.0</v>
      </c>
      <c r="E963" s="10" t="s">
        <v>26</v>
      </c>
      <c r="F963" s="12">
        <v>8845.0</v>
      </c>
      <c r="G963" s="13">
        <v>491.0</v>
      </c>
      <c r="H963" s="13">
        <v>32.0</v>
      </c>
      <c r="I963" s="14">
        <v>2916.97</v>
      </c>
      <c r="J963" s="13">
        <v>19771.0</v>
      </c>
      <c r="K963" s="13">
        <v>158168.0</v>
      </c>
      <c r="L963" s="10" t="s">
        <v>17</v>
      </c>
      <c r="M963" s="15">
        <f t="shared" si="1"/>
        <v>-0.6702125495</v>
      </c>
      <c r="N963" s="16">
        <v>276.41</v>
      </c>
    </row>
    <row r="964" ht="15.75" customHeight="1">
      <c r="A964" s="9" t="s">
        <v>1011</v>
      </c>
      <c r="B964" s="10" t="s">
        <v>56</v>
      </c>
      <c r="C964" s="11">
        <v>45903.0</v>
      </c>
      <c r="D964" s="11">
        <v>45959.0</v>
      </c>
      <c r="E964" s="10" t="s">
        <v>26</v>
      </c>
      <c r="F964" s="12">
        <v>11329.0</v>
      </c>
      <c r="G964" s="13">
        <v>626.0</v>
      </c>
      <c r="H964" s="13">
        <v>40.0</v>
      </c>
      <c r="I964" s="14">
        <v>2471.84</v>
      </c>
      <c r="J964" s="13">
        <v>31977.0</v>
      </c>
      <c r="K964" s="13">
        <v>863379.0</v>
      </c>
      <c r="L964" s="10" t="s">
        <v>17</v>
      </c>
      <c r="M964" s="15">
        <f t="shared" si="1"/>
        <v>-0.7818130462</v>
      </c>
      <c r="N964" s="16">
        <v>283.23</v>
      </c>
    </row>
    <row r="965" ht="15.75" customHeight="1">
      <c r="A965" s="9" t="s">
        <v>1012</v>
      </c>
      <c r="B965" s="10" t="s">
        <v>25</v>
      </c>
      <c r="C965" s="11">
        <v>45877.0</v>
      </c>
      <c r="D965" s="11">
        <v>45910.0</v>
      </c>
      <c r="E965" s="10" t="s">
        <v>16</v>
      </c>
      <c r="F965" s="12">
        <v>37132.0</v>
      </c>
      <c r="G965" s="13">
        <v>5659.0</v>
      </c>
      <c r="H965" s="13">
        <v>510.0</v>
      </c>
      <c r="I965" s="14">
        <v>100730.93</v>
      </c>
      <c r="J965" s="13">
        <v>42597.0</v>
      </c>
      <c r="K965" s="13">
        <v>937134.0</v>
      </c>
      <c r="L965" s="10" t="s">
        <v>17</v>
      </c>
      <c r="M965" s="15">
        <f t="shared" si="1"/>
        <v>1.712779543</v>
      </c>
      <c r="N965" s="16">
        <v>72.81</v>
      </c>
    </row>
    <row r="966" ht="15.75" customHeight="1">
      <c r="A966" s="9" t="s">
        <v>1013</v>
      </c>
      <c r="B966" s="10" t="s">
        <v>25</v>
      </c>
      <c r="C966" s="11">
        <v>46067.0</v>
      </c>
      <c r="D966" s="11">
        <v>46074.0</v>
      </c>
      <c r="E966" s="10" t="s">
        <v>26</v>
      </c>
      <c r="F966" s="12">
        <v>10006.0</v>
      </c>
      <c r="G966" s="13">
        <v>643.0</v>
      </c>
      <c r="H966" s="13">
        <v>16.0</v>
      </c>
      <c r="I966" s="14">
        <v>1086.85</v>
      </c>
      <c r="J966" s="13">
        <v>19116.0</v>
      </c>
      <c r="K966" s="13">
        <v>535248.0</v>
      </c>
      <c r="L966" s="10" t="s">
        <v>17</v>
      </c>
      <c r="M966" s="15">
        <f t="shared" si="1"/>
        <v>-0.8913801719</v>
      </c>
      <c r="N966" s="16">
        <v>625.38</v>
      </c>
    </row>
    <row r="967" ht="15.75" customHeight="1">
      <c r="A967" s="9" t="s">
        <v>1014</v>
      </c>
      <c r="B967" s="10" t="s">
        <v>75</v>
      </c>
      <c r="C967" s="11">
        <v>46156.0</v>
      </c>
      <c r="D967" s="11">
        <v>46186.0</v>
      </c>
      <c r="E967" s="10" t="s">
        <v>35</v>
      </c>
      <c r="F967" s="12">
        <v>1786.0</v>
      </c>
      <c r="G967" s="13">
        <v>403.0</v>
      </c>
      <c r="H967" s="13">
        <v>76.0</v>
      </c>
      <c r="I967" s="14">
        <v>10025.86</v>
      </c>
      <c r="J967" s="13">
        <v>4270.0</v>
      </c>
      <c r="K967" s="13">
        <v>68320.0</v>
      </c>
      <c r="L967" s="10" t="s">
        <v>17</v>
      </c>
      <c r="M967" s="15">
        <f t="shared" si="1"/>
        <v>4.613583427</v>
      </c>
      <c r="N967" s="16">
        <v>23.5</v>
      </c>
    </row>
    <row r="968" ht="15.75" customHeight="1">
      <c r="A968" s="9" t="s">
        <v>1015</v>
      </c>
      <c r="B968" s="10" t="s">
        <v>30</v>
      </c>
      <c r="C968" s="11">
        <v>46008.0</v>
      </c>
      <c r="D968" s="11">
        <v>46033.0</v>
      </c>
      <c r="E968" s="10" t="s">
        <v>35</v>
      </c>
      <c r="F968" s="12">
        <v>881.0</v>
      </c>
      <c r="G968" s="13">
        <v>56.0</v>
      </c>
      <c r="H968" s="13">
        <v>9.0</v>
      </c>
      <c r="I968" s="14">
        <v>1657.92</v>
      </c>
      <c r="J968" s="13">
        <v>3598.0</v>
      </c>
      <c r="K968" s="13">
        <v>79156.0</v>
      </c>
      <c r="L968" s="10" t="s">
        <v>17</v>
      </c>
      <c r="M968" s="15">
        <f t="shared" si="1"/>
        <v>0.881861521</v>
      </c>
      <c r="N968" s="16">
        <v>97.89</v>
      </c>
    </row>
    <row r="969" ht="15.75" customHeight="1">
      <c r="A969" s="9" t="s">
        <v>1016</v>
      </c>
      <c r="B969" s="10" t="s">
        <v>28</v>
      </c>
      <c r="C969" s="11">
        <v>45903.0</v>
      </c>
      <c r="D969" s="11">
        <v>45929.0</v>
      </c>
      <c r="E969" s="10" t="s">
        <v>16</v>
      </c>
      <c r="F969" s="12">
        <v>52378.0</v>
      </c>
      <c r="G969" s="13">
        <v>8116.0</v>
      </c>
      <c r="H969" s="13">
        <v>1187.0</v>
      </c>
      <c r="I969" s="14">
        <v>76271.88</v>
      </c>
      <c r="J969" s="13">
        <v>38514.0</v>
      </c>
      <c r="K969" s="13">
        <v>962850.0</v>
      </c>
      <c r="L969" s="10" t="s">
        <v>17</v>
      </c>
      <c r="M969" s="15">
        <f t="shared" si="1"/>
        <v>0.456181603</v>
      </c>
      <c r="N969" s="16">
        <v>44.13</v>
      </c>
    </row>
    <row r="970" ht="15.75" customHeight="1">
      <c r="A970" s="9" t="s">
        <v>1017</v>
      </c>
      <c r="B970" s="10" t="s">
        <v>28</v>
      </c>
      <c r="C970" s="11">
        <v>46116.0</v>
      </c>
      <c r="D970" s="11">
        <v>46149.0</v>
      </c>
      <c r="E970" s="10" t="s">
        <v>26</v>
      </c>
      <c r="F970" s="12">
        <v>18642.0</v>
      </c>
      <c r="G970" s="13">
        <v>1842.0</v>
      </c>
      <c r="H970" s="13">
        <v>41.0</v>
      </c>
      <c r="I970" s="14">
        <v>6812.49</v>
      </c>
      <c r="J970" s="13">
        <v>31298.0</v>
      </c>
      <c r="K970" s="13">
        <v>657258.0</v>
      </c>
      <c r="L970" s="10" t="s">
        <v>17</v>
      </c>
      <c r="M970" s="15">
        <f t="shared" si="1"/>
        <v>-0.6345622787</v>
      </c>
      <c r="N970" s="16">
        <v>454.68</v>
      </c>
    </row>
    <row r="971" ht="15.75" customHeight="1">
      <c r="A971" s="9" t="s">
        <v>1018</v>
      </c>
      <c r="B971" s="10" t="s">
        <v>58</v>
      </c>
      <c r="C971" s="11">
        <v>46078.0</v>
      </c>
      <c r="D971" s="11">
        <v>46126.0</v>
      </c>
      <c r="E971" s="10" t="s">
        <v>26</v>
      </c>
      <c r="F971" s="12">
        <v>20289.0</v>
      </c>
      <c r="G971" s="13">
        <v>2415.0</v>
      </c>
      <c r="H971" s="13">
        <v>144.0</v>
      </c>
      <c r="I971" s="14">
        <v>27471.8</v>
      </c>
      <c r="J971" s="13">
        <v>23160.0</v>
      </c>
      <c r="K971" s="13">
        <v>579000.0</v>
      </c>
      <c r="L971" s="10" t="s">
        <v>17</v>
      </c>
      <c r="M971" s="15">
        <f t="shared" si="1"/>
        <v>0.3540243482</v>
      </c>
      <c r="N971" s="16">
        <v>140.9</v>
      </c>
    </row>
    <row r="972" ht="15.75" customHeight="1">
      <c r="A972" s="9" t="s">
        <v>1019</v>
      </c>
      <c r="B972" s="10" t="s">
        <v>25</v>
      </c>
      <c r="C972" s="11">
        <v>45908.0</v>
      </c>
      <c r="D972" s="11">
        <v>45936.0</v>
      </c>
      <c r="E972" s="10" t="s">
        <v>35</v>
      </c>
      <c r="F972" s="12">
        <v>2208.0</v>
      </c>
      <c r="G972" s="13">
        <v>212.0</v>
      </c>
      <c r="H972" s="13">
        <v>21.0</v>
      </c>
      <c r="I972" s="14">
        <v>1483.19</v>
      </c>
      <c r="J972" s="13">
        <v>6736.0</v>
      </c>
      <c r="K972" s="13">
        <v>121248.0</v>
      </c>
      <c r="L972" s="10" t="s">
        <v>17</v>
      </c>
      <c r="M972" s="15">
        <f t="shared" si="1"/>
        <v>-0.3282653986</v>
      </c>
      <c r="N972" s="16">
        <v>105.14</v>
      </c>
    </row>
    <row r="973" ht="15.75" customHeight="1">
      <c r="A973" s="9" t="s">
        <v>1020</v>
      </c>
      <c r="B973" s="10" t="s">
        <v>25</v>
      </c>
      <c r="C973" s="11">
        <v>45927.0</v>
      </c>
      <c r="D973" s="11">
        <v>45941.0</v>
      </c>
      <c r="E973" s="10" t="s">
        <v>16</v>
      </c>
      <c r="F973" s="12">
        <v>29961.0</v>
      </c>
      <c r="G973" s="13">
        <v>4321.0</v>
      </c>
      <c r="H973" s="13">
        <v>220.0</v>
      </c>
      <c r="I973" s="14">
        <v>39979.89</v>
      </c>
      <c r="J973" s="13">
        <v>49416.0</v>
      </c>
      <c r="K973" s="13">
        <v>642408.0</v>
      </c>
      <c r="L973" s="10" t="s">
        <v>17</v>
      </c>
      <c r="M973" s="15">
        <f t="shared" si="1"/>
        <v>0.334397717</v>
      </c>
      <c r="N973" s="16">
        <v>136.19</v>
      </c>
    </row>
    <row r="974" ht="15.75" customHeight="1">
      <c r="A974" s="9" t="s">
        <v>1021</v>
      </c>
      <c r="B974" s="10" t="s">
        <v>38</v>
      </c>
      <c r="C974" s="11">
        <v>45885.0</v>
      </c>
      <c r="D974" s="11">
        <v>45942.0</v>
      </c>
      <c r="E974" s="10" t="s">
        <v>16</v>
      </c>
      <c r="F974" s="12">
        <v>18110.0</v>
      </c>
      <c r="G974" s="13">
        <v>2162.0</v>
      </c>
      <c r="H974" s="13">
        <v>330.0</v>
      </c>
      <c r="I974" s="14">
        <v>2699.73</v>
      </c>
      <c r="J974" s="13">
        <v>24286.0</v>
      </c>
      <c r="K974" s="13">
        <v>485720.0</v>
      </c>
      <c r="L974" s="10" t="s">
        <v>17</v>
      </c>
      <c r="M974" s="15">
        <f t="shared" si="1"/>
        <v>-0.8509260077</v>
      </c>
      <c r="N974" s="16">
        <v>54.88</v>
      </c>
    </row>
    <row r="975" ht="15.75" customHeight="1">
      <c r="A975" s="9" t="s">
        <v>1022</v>
      </c>
      <c r="B975" s="10" t="s">
        <v>56</v>
      </c>
      <c r="C975" s="11">
        <v>46028.0</v>
      </c>
      <c r="D975" s="11">
        <v>46079.0</v>
      </c>
      <c r="E975" s="10" t="s">
        <v>26</v>
      </c>
      <c r="F975" s="12">
        <v>9079.0</v>
      </c>
      <c r="G975" s="13">
        <v>1382.0</v>
      </c>
      <c r="H975" s="13">
        <v>72.0</v>
      </c>
      <c r="I975" s="14">
        <v>12228.46</v>
      </c>
      <c r="J975" s="13">
        <v>22330.0</v>
      </c>
      <c r="K975" s="13">
        <v>468930.0</v>
      </c>
      <c r="L975" s="10" t="s">
        <v>17</v>
      </c>
      <c r="M975" s="15">
        <f t="shared" si="1"/>
        <v>0.3468950325</v>
      </c>
      <c r="N975" s="16">
        <v>126.1</v>
      </c>
    </row>
    <row r="976" ht="15.75" customHeight="1">
      <c r="A976" s="9" t="s">
        <v>1023</v>
      </c>
      <c r="B976" s="10" t="s">
        <v>75</v>
      </c>
      <c r="C976" s="11">
        <v>46003.0</v>
      </c>
      <c r="D976" s="11">
        <v>46031.0</v>
      </c>
      <c r="E976" s="10" t="s">
        <v>35</v>
      </c>
      <c r="F976" s="12">
        <v>3101.0</v>
      </c>
      <c r="G976" s="13">
        <v>194.0</v>
      </c>
      <c r="H976" s="13">
        <v>34.0</v>
      </c>
      <c r="I976" s="14">
        <v>5674.45</v>
      </c>
      <c r="J976" s="13">
        <v>6553.0</v>
      </c>
      <c r="K976" s="13">
        <v>157272.0</v>
      </c>
      <c r="L976" s="10" t="s">
        <v>17</v>
      </c>
      <c r="M976" s="15">
        <f t="shared" si="1"/>
        <v>0.8298774589</v>
      </c>
      <c r="N976" s="16">
        <v>91.21</v>
      </c>
    </row>
    <row r="977" ht="15.75" customHeight="1">
      <c r="A977" s="9" t="s">
        <v>1024</v>
      </c>
      <c r="B977" s="10" t="s">
        <v>30</v>
      </c>
      <c r="C977" s="11">
        <v>45927.0</v>
      </c>
      <c r="D977" s="11">
        <v>45942.0</v>
      </c>
      <c r="E977" s="10" t="s">
        <v>26</v>
      </c>
      <c r="F977" s="12">
        <v>11392.0</v>
      </c>
      <c r="G977" s="13">
        <v>1053.0</v>
      </c>
      <c r="H977" s="13">
        <v>47.0</v>
      </c>
      <c r="I977" s="14">
        <v>3144.28</v>
      </c>
      <c r="J977" s="13">
        <v>20098.0</v>
      </c>
      <c r="K977" s="13">
        <v>221078.0</v>
      </c>
      <c r="L977" s="10" t="s">
        <v>17</v>
      </c>
      <c r="M977" s="15">
        <f t="shared" si="1"/>
        <v>-0.7239922753</v>
      </c>
      <c r="N977" s="16">
        <v>242.38</v>
      </c>
    </row>
    <row r="978" ht="15.75" customHeight="1">
      <c r="A978" s="9" t="s">
        <v>1025</v>
      </c>
      <c r="B978" s="10" t="s">
        <v>38</v>
      </c>
      <c r="C978" s="11">
        <v>46061.0</v>
      </c>
      <c r="D978" s="11">
        <v>46083.0</v>
      </c>
      <c r="E978" s="10" t="s">
        <v>35</v>
      </c>
      <c r="F978" s="12">
        <v>1924.0</v>
      </c>
      <c r="G978" s="13">
        <v>188.0</v>
      </c>
      <c r="H978" s="13">
        <v>54.0</v>
      </c>
      <c r="I978" s="14">
        <v>1598.99</v>
      </c>
      <c r="J978" s="13">
        <v>4805.0</v>
      </c>
      <c r="K978" s="13">
        <v>139345.0</v>
      </c>
      <c r="L978" s="10" t="s">
        <v>17</v>
      </c>
      <c r="M978" s="15">
        <f t="shared" si="1"/>
        <v>-0.1689241164</v>
      </c>
      <c r="N978" s="16">
        <v>35.63</v>
      </c>
    </row>
    <row r="979" ht="15.75" customHeight="1">
      <c r="A979" s="9" t="s">
        <v>1026</v>
      </c>
      <c r="B979" s="10" t="s">
        <v>75</v>
      </c>
      <c r="C979" s="11">
        <v>45849.0</v>
      </c>
      <c r="D979" s="11">
        <v>45857.0</v>
      </c>
      <c r="E979" s="10" t="s">
        <v>16</v>
      </c>
      <c r="F979" s="12">
        <v>39401.0</v>
      </c>
      <c r="G979" s="13">
        <v>5829.0</v>
      </c>
      <c r="H979" s="13">
        <v>761.0</v>
      </c>
      <c r="I979" s="14">
        <v>111129.74</v>
      </c>
      <c r="J979" s="13">
        <v>37009.0</v>
      </c>
      <c r="K979" s="13">
        <v>592144.0</v>
      </c>
      <c r="L979" s="10" t="s">
        <v>17</v>
      </c>
      <c r="M979" s="15">
        <f t="shared" si="1"/>
        <v>1.820480191</v>
      </c>
      <c r="N979" s="16">
        <v>51.78</v>
      </c>
    </row>
    <row r="980" ht="15.75" customHeight="1">
      <c r="A980" s="9" t="s">
        <v>1027</v>
      </c>
      <c r="B980" s="10" t="s">
        <v>47</v>
      </c>
      <c r="C980" s="11">
        <v>46010.0</v>
      </c>
      <c r="D980" s="11">
        <v>46063.0</v>
      </c>
      <c r="E980" s="10" t="s">
        <v>16</v>
      </c>
      <c r="F980" s="12">
        <v>19869.0</v>
      </c>
      <c r="G980" s="13">
        <v>2456.0</v>
      </c>
      <c r="H980" s="13">
        <v>282.0</v>
      </c>
      <c r="I980" s="14">
        <v>47039.54</v>
      </c>
      <c r="J980" s="13">
        <v>22356.0</v>
      </c>
      <c r="K980" s="13">
        <v>335340.0</v>
      </c>
      <c r="L980" s="10" t="s">
        <v>17</v>
      </c>
      <c r="M980" s="15">
        <f t="shared" si="1"/>
        <v>1.36748402</v>
      </c>
      <c r="N980" s="16">
        <v>70.46</v>
      </c>
    </row>
    <row r="981" ht="15.75" customHeight="1">
      <c r="A981" s="9" t="s">
        <v>1028</v>
      </c>
      <c r="B981" s="10" t="s">
        <v>25</v>
      </c>
      <c r="C981" s="11">
        <v>46191.0</v>
      </c>
      <c r="D981" s="11">
        <v>46223.0</v>
      </c>
      <c r="E981" s="10" t="s">
        <v>26</v>
      </c>
      <c r="F981" s="12">
        <v>8167.0</v>
      </c>
      <c r="G981" s="13">
        <v>533.0</v>
      </c>
      <c r="H981" s="13">
        <v>16.0</v>
      </c>
      <c r="I981" s="14">
        <v>801.43</v>
      </c>
      <c r="J981" s="13">
        <v>14575.0</v>
      </c>
      <c r="K981" s="13">
        <v>408100.0</v>
      </c>
      <c r="L981" s="10" t="s">
        <v>17</v>
      </c>
      <c r="M981" s="15">
        <f t="shared" si="1"/>
        <v>-0.9018697196</v>
      </c>
      <c r="N981" s="16">
        <v>510.44</v>
      </c>
    </row>
    <row r="982" ht="15.75" customHeight="1">
      <c r="A982" s="9" t="s">
        <v>1029</v>
      </c>
      <c r="B982" s="10" t="s">
        <v>62</v>
      </c>
      <c r="C982" s="11">
        <v>46072.0</v>
      </c>
      <c r="D982" s="11">
        <v>46107.0</v>
      </c>
      <c r="E982" s="10" t="s">
        <v>26</v>
      </c>
      <c r="F982" s="12">
        <v>19622.0</v>
      </c>
      <c r="G982" s="13">
        <v>4071.0</v>
      </c>
      <c r="H982" s="13">
        <v>145.0</v>
      </c>
      <c r="I982" s="14">
        <v>22133.97</v>
      </c>
      <c r="J982" s="13">
        <v>45913.0</v>
      </c>
      <c r="K982" s="13">
        <v>964173.0</v>
      </c>
      <c r="L982" s="10" t="s">
        <v>17</v>
      </c>
      <c r="M982" s="15">
        <f t="shared" si="1"/>
        <v>0.128018041</v>
      </c>
      <c r="N982" s="16">
        <v>135.32</v>
      </c>
    </row>
    <row r="983" ht="15.75" customHeight="1">
      <c r="A983" s="9" t="s">
        <v>1030</v>
      </c>
      <c r="B983" s="10" t="s">
        <v>38</v>
      </c>
      <c r="C983" s="11">
        <v>45869.0</v>
      </c>
      <c r="D983" s="11">
        <v>45881.0</v>
      </c>
      <c r="E983" s="10" t="s">
        <v>26</v>
      </c>
      <c r="F983" s="12">
        <v>17337.0</v>
      </c>
      <c r="G983" s="13">
        <v>1310.0</v>
      </c>
      <c r="H983" s="13">
        <v>63.0</v>
      </c>
      <c r="I983" s="14">
        <v>4508.03</v>
      </c>
      <c r="J983" s="13">
        <v>24164.0</v>
      </c>
      <c r="K983" s="13">
        <v>604100.0</v>
      </c>
      <c r="L983" s="10" t="s">
        <v>17</v>
      </c>
      <c r="M983" s="15">
        <f t="shared" si="1"/>
        <v>-0.7399763512</v>
      </c>
      <c r="N983" s="16">
        <v>275.19</v>
      </c>
    </row>
    <row r="984" ht="15.75" customHeight="1">
      <c r="A984" s="9" t="s">
        <v>1031</v>
      </c>
      <c r="B984" s="10" t="s">
        <v>52</v>
      </c>
      <c r="C984" s="11">
        <v>46058.0</v>
      </c>
      <c r="D984" s="11">
        <v>46063.0</v>
      </c>
      <c r="E984" s="10" t="s">
        <v>35</v>
      </c>
      <c r="F984" s="12">
        <v>3564.0</v>
      </c>
      <c r="G984" s="13">
        <v>447.0</v>
      </c>
      <c r="H984" s="13">
        <v>125.0</v>
      </c>
      <c r="I984" s="14">
        <v>11437.55</v>
      </c>
      <c r="J984" s="13">
        <v>15511.0</v>
      </c>
      <c r="K984" s="13">
        <v>449819.0</v>
      </c>
      <c r="L984" s="10" t="s">
        <v>17</v>
      </c>
      <c r="M984" s="15">
        <f t="shared" si="1"/>
        <v>2.209189113</v>
      </c>
      <c r="N984" s="16">
        <v>28.51</v>
      </c>
    </row>
    <row r="985" ht="15.75" customHeight="1">
      <c r="A985" s="9" t="s">
        <v>1032</v>
      </c>
      <c r="B985" s="10" t="s">
        <v>75</v>
      </c>
      <c r="C985" s="11">
        <v>45908.0</v>
      </c>
      <c r="D985" s="11">
        <v>45922.0</v>
      </c>
      <c r="E985" s="10" t="s">
        <v>16</v>
      </c>
      <c r="F985" s="12">
        <v>55162.0</v>
      </c>
      <c r="G985" s="13">
        <v>3112.0</v>
      </c>
      <c r="H985" s="13">
        <v>229.0</v>
      </c>
      <c r="I985" s="14">
        <v>48883.15</v>
      </c>
      <c r="J985" s="13">
        <v>60596.0</v>
      </c>
      <c r="K985" s="13">
        <v>1696688.0</v>
      </c>
      <c r="L985" s="10" t="s">
        <v>17</v>
      </c>
      <c r="M985" s="15">
        <f t="shared" si="1"/>
        <v>-0.1138256408</v>
      </c>
      <c r="N985" s="16">
        <v>240.88</v>
      </c>
    </row>
    <row r="986" ht="15.75" customHeight="1">
      <c r="A986" s="9" t="s">
        <v>1033</v>
      </c>
      <c r="B986" s="10" t="s">
        <v>62</v>
      </c>
      <c r="C986" s="11">
        <v>45862.0</v>
      </c>
      <c r="D986" s="11">
        <v>45889.0</v>
      </c>
      <c r="E986" s="10" t="s">
        <v>35</v>
      </c>
      <c r="F986" s="12">
        <v>4656.0</v>
      </c>
      <c r="G986" s="13">
        <v>640.0</v>
      </c>
      <c r="H986" s="13">
        <v>160.0</v>
      </c>
      <c r="I986" s="14">
        <v>23906.62</v>
      </c>
      <c r="J986" s="13">
        <v>13286.0</v>
      </c>
      <c r="K986" s="13">
        <v>265720.0</v>
      </c>
      <c r="L986" s="10" t="s">
        <v>17</v>
      </c>
      <c r="M986" s="15">
        <f t="shared" si="1"/>
        <v>4.134583333</v>
      </c>
      <c r="N986" s="16">
        <v>29.1</v>
      </c>
    </row>
    <row r="987" ht="15.75" customHeight="1">
      <c r="A987" s="9" t="s">
        <v>1034</v>
      </c>
      <c r="B987" s="10" t="s">
        <v>28</v>
      </c>
      <c r="C987" s="11">
        <v>45850.0</v>
      </c>
      <c r="D987" s="11">
        <v>45907.0</v>
      </c>
      <c r="E987" s="10" t="s">
        <v>26</v>
      </c>
      <c r="F987" s="12">
        <v>24478.0</v>
      </c>
      <c r="G987" s="13">
        <v>3932.0</v>
      </c>
      <c r="H987" s="13">
        <v>228.0</v>
      </c>
      <c r="I987" s="14">
        <v>15235.47</v>
      </c>
      <c r="J987" s="13">
        <v>38092.0</v>
      </c>
      <c r="K987" s="13">
        <v>380920.0</v>
      </c>
      <c r="L987" s="10" t="s">
        <v>17</v>
      </c>
      <c r="M987" s="15">
        <f t="shared" si="1"/>
        <v>-0.3775851785</v>
      </c>
      <c r="N987" s="16">
        <v>107.36</v>
      </c>
    </row>
    <row r="988" ht="15.75" customHeight="1">
      <c r="A988" s="9" t="s">
        <v>1035</v>
      </c>
      <c r="B988" s="10" t="s">
        <v>62</v>
      </c>
      <c r="C988" s="11">
        <v>45944.0</v>
      </c>
      <c r="D988" s="11">
        <v>45958.0</v>
      </c>
      <c r="E988" s="10" t="s">
        <v>16</v>
      </c>
      <c r="F988" s="12">
        <v>11010.0</v>
      </c>
      <c r="G988" s="13">
        <v>1666.0</v>
      </c>
      <c r="H988" s="13">
        <v>248.0</v>
      </c>
      <c r="I988" s="14">
        <v>54319.5</v>
      </c>
      <c r="J988" s="13">
        <v>12203.0</v>
      </c>
      <c r="K988" s="13">
        <v>158639.0</v>
      </c>
      <c r="L988" s="10" t="s">
        <v>17</v>
      </c>
      <c r="M988" s="15">
        <f t="shared" si="1"/>
        <v>3.933651226</v>
      </c>
      <c r="N988" s="16">
        <v>44.4</v>
      </c>
    </row>
    <row r="989" ht="15.75" customHeight="1">
      <c r="A989" s="9" t="s">
        <v>1036</v>
      </c>
      <c r="B989" s="10" t="s">
        <v>62</v>
      </c>
      <c r="C989" s="11">
        <v>45996.0</v>
      </c>
      <c r="D989" s="11">
        <v>46038.0</v>
      </c>
      <c r="E989" s="10" t="s">
        <v>16</v>
      </c>
      <c r="F989" s="12">
        <v>24197.0</v>
      </c>
      <c r="G989" s="13">
        <v>3709.0</v>
      </c>
      <c r="H989" s="13">
        <v>268.0</v>
      </c>
      <c r="I989" s="14">
        <v>23481.19</v>
      </c>
      <c r="J989" s="13">
        <v>22253.0</v>
      </c>
      <c r="K989" s="13">
        <v>645337.0</v>
      </c>
      <c r="L989" s="10" t="s">
        <v>17</v>
      </c>
      <c r="M989" s="15">
        <f t="shared" si="1"/>
        <v>-0.02958259288</v>
      </c>
      <c r="N989" s="16">
        <v>90.29</v>
      </c>
    </row>
    <row r="990" ht="15.75" customHeight="1">
      <c r="A990" s="9" t="s">
        <v>1037</v>
      </c>
      <c r="B990" s="10" t="s">
        <v>30</v>
      </c>
      <c r="C990" s="11">
        <v>45848.0</v>
      </c>
      <c r="D990" s="11">
        <v>45858.0</v>
      </c>
      <c r="E990" s="10" t="s">
        <v>16</v>
      </c>
      <c r="F990" s="12">
        <v>25499.0</v>
      </c>
      <c r="G990" s="13">
        <v>1297.0</v>
      </c>
      <c r="H990" s="13">
        <v>1302.0</v>
      </c>
      <c r="I990" s="14">
        <v>17851.28</v>
      </c>
      <c r="J990" s="13">
        <v>23929.0</v>
      </c>
      <c r="K990" s="13">
        <v>335006.0</v>
      </c>
      <c r="L990" s="10" t="s">
        <v>17</v>
      </c>
      <c r="M990" s="15">
        <f t="shared" si="1"/>
        <v>-0.2999223499</v>
      </c>
      <c r="N990" s="16">
        <v>19.58</v>
      </c>
    </row>
    <row r="991" ht="15.75" customHeight="1">
      <c r="A991" s="9" t="s">
        <v>1038</v>
      </c>
      <c r="B991" s="10" t="s">
        <v>62</v>
      </c>
      <c r="C991" s="11">
        <v>46101.0</v>
      </c>
      <c r="D991" s="11">
        <v>46151.0</v>
      </c>
      <c r="E991" s="10" t="s">
        <v>26</v>
      </c>
      <c r="F991" s="12">
        <v>11607.0</v>
      </c>
      <c r="G991" s="13">
        <v>2383.0</v>
      </c>
      <c r="H991" s="13">
        <v>141.0</v>
      </c>
      <c r="I991" s="14">
        <v>11333.54</v>
      </c>
      <c r="J991" s="13">
        <v>25953.0</v>
      </c>
      <c r="K991" s="13">
        <v>545013.0</v>
      </c>
      <c r="L991" s="10" t="s">
        <v>17</v>
      </c>
      <c r="M991" s="15">
        <f t="shared" si="1"/>
        <v>-0.02355992074</v>
      </c>
      <c r="N991" s="16">
        <v>82.32</v>
      </c>
    </row>
    <row r="992" ht="15.75" customHeight="1">
      <c r="A992" s="9" t="s">
        <v>1039</v>
      </c>
      <c r="B992" s="10" t="s">
        <v>25</v>
      </c>
      <c r="C992" s="11">
        <v>46167.0</v>
      </c>
      <c r="D992" s="11">
        <v>46187.0</v>
      </c>
      <c r="E992" s="10" t="s">
        <v>26</v>
      </c>
      <c r="F992" s="12">
        <v>24235.0</v>
      </c>
      <c r="G992" s="13">
        <v>1336.0</v>
      </c>
      <c r="H992" s="13">
        <v>44.0</v>
      </c>
      <c r="I992" s="14">
        <v>6735.74</v>
      </c>
      <c r="J992" s="13">
        <v>65795.0</v>
      </c>
      <c r="K992" s="13">
        <v>1052720.0</v>
      </c>
      <c r="L992" s="10" t="s">
        <v>17</v>
      </c>
      <c r="M992" s="15">
        <f t="shared" si="1"/>
        <v>-0.7220656076</v>
      </c>
      <c r="N992" s="16">
        <v>550.8</v>
      </c>
    </row>
    <row r="993" ht="15.75" customHeight="1">
      <c r="A993" s="9" t="s">
        <v>1040</v>
      </c>
      <c r="B993" s="10" t="s">
        <v>62</v>
      </c>
      <c r="C993" s="11">
        <v>46172.0</v>
      </c>
      <c r="D993" s="11">
        <v>46230.0</v>
      </c>
      <c r="E993" s="10" t="s">
        <v>16</v>
      </c>
      <c r="F993" s="12">
        <v>57488.0</v>
      </c>
      <c r="G993" s="13">
        <v>4626.0</v>
      </c>
      <c r="H993" s="13">
        <v>409.0</v>
      </c>
      <c r="I993" s="14">
        <v>62881.0</v>
      </c>
      <c r="J993" s="13">
        <v>71936.0</v>
      </c>
      <c r="K993" s="13">
        <v>1294848.0</v>
      </c>
      <c r="L993" s="10" t="s">
        <v>17</v>
      </c>
      <c r="M993" s="15">
        <f t="shared" si="1"/>
        <v>0.09381088227</v>
      </c>
      <c r="N993" s="16">
        <v>140.56</v>
      </c>
    </row>
    <row r="994" ht="15.75" customHeight="1">
      <c r="A994" s="9" t="s">
        <v>1041</v>
      </c>
      <c r="B994" s="10" t="s">
        <v>28</v>
      </c>
      <c r="C994" s="11">
        <v>45877.0</v>
      </c>
      <c r="D994" s="11">
        <v>45906.0</v>
      </c>
      <c r="E994" s="10" t="s">
        <v>26</v>
      </c>
      <c r="F994" s="12">
        <v>20189.0</v>
      </c>
      <c r="G994" s="13">
        <v>1348.0</v>
      </c>
      <c r="H994" s="13">
        <v>27.0</v>
      </c>
      <c r="I994" s="14">
        <v>5149.97</v>
      </c>
      <c r="J994" s="13">
        <v>23414.0</v>
      </c>
      <c r="K994" s="13">
        <v>280968.0</v>
      </c>
      <c r="L994" s="10" t="s">
        <v>17</v>
      </c>
      <c r="M994" s="15">
        <f t="shared" si="1"/>
        <v>-0.7449120808</v>
      </c>
      <c r="N994" s="16">
        <v>747.74</v>
      </c>
    </row>
    <row r="995" ht="15.75" customHeight="1">
      <c r="A995" s="9" t="s">
        <v>1042</v>
      </c>
      <c r="B995" s="10" t="s">
        <v>19</v>
      </c>
      <c r="C995" s="11">
        <v>45900.0</v>
      </c>
      <c r="D995" s="11">
        <v>45932.0</v>
      </c>
      <c r="E995" s="10" t="s">
        <v>26</v>
      </c>
      <c r="F995" s="12">
        <v>24361.0</v>
      </c>
      <c r="G995" s="13">
        <v>219.0</v>
      </c>
      <c r="H995" s="13">
        <v>12.0</v>
      </c>
      <c r="I995" s="14">
        <v>1513.96</v>
      </c>
      <c r="J995" s="13">
        <v>5571.0</v>
      </c>
      <c r="K995" s="13">
        <v>111420.0</v>
      </c>
      <c r="L995" s="10" t="s">
        <v>17</v>
      </c>
      <c r="M995" s="15">
        <f t="shared" si="1"/>
        <v>-0.9378531259</v>
      </c>
      <c r="N995" s="16">
        <v>363.42</v>
      </c>
    </row>
    <row r="996" ht="15.75" customHeight="1">
      <c r="A996" s="9" t="s">
        <v>1043</v>
      </c>
      <c r="B996" s="10" t="s">
        <v>15</v>
      </c>
      <c r="C996" s="11">
        <v>46087.0</v>
      </c>
      <c r="D996" s="11">
        <v>46147.0</v>
      </c>
      <c r="E996" s="10" t="s">
        <v>35</v>
      </c>
      <c r="F996" s="12">
        <v>1848.0</v>
      </c>
      <c r="G996" s="13">
        <v>53.0</v>
      </c>
      <c r="H996" s="13">
        <v>6.0</v>
      </c>
      <c r="I996" s="14">
        <v>1264.5</v>
      </c>
      <c r="J996" s="13">
        <v>5512.0</v>
      </c>
      <c r="K996" s="13">
        <v>148824.0</v>
      </c>
      <c r="L996" s="10" t="s">
        <v>17</v>
      </c>
      <c r="M996" s="15">
        <f t="shared" si="1"/>
        <v>-0.3157467532</v>
      </c>
      <c r="N996" s="16">
        <v>141.33</v>
      </c>
    </row>
    <row r="997" ht="15.75" customHeight="1">
      <c r="A997" s="9" t="s">
        <v>1044</v>
      </c>
      <c r="B997" s="10" t="s">
        <v>58</v>
      </c>
      <c r="C997" s="11">
        <v>45966.0</v>
      </c>
      <c r="D997" s="11">
        <v>45969.0</v>
      </c>
      <c r="E997" s="10" t="s">
        <v>16</v>
      </c>
      <c r="F997" s="12">
        <v>18969.0</v>
      </c>
      <c r="G997" s="13">
        <v>1690.0</v>
      </c>
      <c r="H997" s="13">
        <v>205.0</v>
      </c>
      <c r="I997" s="14">
        <v>23751.23</v>
      </c>
      <c r="J997" s="13">
        <v>24755.0</v>
      </c>
      <c r="K997" s="13">
        <v>420835.0</v>
      </c>
      <c r="L997" s="10" t="s">
        <v>17</v>
      </c>
      <c r="M997" s="15">
        <f t="shared" si="1"/>
        <v>0.2521076493</v>
      </c>
      <c r="N997" s="16">
        <v>92.53</v>
      </c>
    </row>
    <row r="998" ht="15.75" customHeight="1">
      <c r="A998" s="9" t="s">
        <v>1045</v>
      </c>
      <c r="B998" s="10" t="s">
        <v>19</v>
      </c>
      <c r="C998" s="11">
        <v>46019.0</v>
      </c>
      <c r="D998" s="11">
        <v>46044.0</v>
      </c>
      <c r="E998" s="10" t="s">
        <v>26</v>
      </c>
      <c r="F998" s="12">
        <v>29784.0</v>
      </c>
      <c r="G998" s="13">
        <v>813.0</v>
      </c>
      <c r="H998" s="13">
        <v>50.0</v>
      </c>
      <c r="I998" s="14">
        <v>3076.77</v>
      </c>
      <c r="J998" s="13">
        <v>17630.0</v>
      </c>
      <c r="K998" s="13">
        <v>264450.0</v>
      </c>
      <c r="L998" s="10" t="s">
        <v>17</v>
      </c>
      <c r="M998" s="15">
        <f t="shared" si="1"/>
        <v>-0.89669722</v>
      </c>
      <c r="N998" s="16">
        <v>195.68</v>
      </c>
    </row>
    <row r="999" ht="15.75" customHeight="1">
      <c r="A999" s="9" t="s">
        <v>1046</v>
      </c>
      <c r="B999" s="10" t="s">
        <v>47</v>
      </c>
      <c r="C999" s="11">
        <v>45899.0</v>
      </c>
      <c r="D999" s="11">
        <v>45924.0</v>
      </c>
      <c r="E999" s="10" t="s">
        <v>16</v>
      </c>
      <c r="F999" s="12">
        <v>53979.0</v>
      </c>
      <c r="G999" s="13">
        <v>6764.0</v>
      </c>
      <c r="H999" s="13">
        <v>839.0</v>
      </c>
      <c r="I999" s="14">
        <v>105052.93</v>
      </c>
      <c r="J999" s="13">
        <v>36032.0</v>
      </c>
      <c r="K999" s="13">
        <v>756672.0</v>
      </c>
      <c r="L999" s="10" t="s">
        <v>17</v>
      </c>
      <c r="M999" s="15">
        <f t="shared" si="1"/>
        <v>0.946181478</v>
      </c>
      <c r="N999" s="16">
        <v>64.34</v>
      </c>
    </row>
    <row r="1000" ht="15.75" customHeight="1">
      <c r="A1000" s="9" t="s">
        <v>1047</v>
      </c>
      <c r="B1000" s="10" t="s">
        <v>47</v>
      </c>
      <c r="C1000" s="11">
        <v>46107.0</v>
      </c>
      <c r="D1000" s="11">
        <v>46134.0</v>
      </c>
      <c r="E1000" s="10" t="s">
        <v>26</v>
      </c>
      <c r="F1000" s="12">
        <v>8546.0</v>
      </c>
      <c r="G1000" s="13">
        <v>614.0</v>
      </c>
      <c r="H1000" s="13">
        <v>18.0</v>
      </c>
      <c r="I1000" s="14">
        <v>416.02</v>
      </c>
      <c r="J1000" s="13">
        <v>15639.0</v>
      </c>
      <c r="K1000" s="13">
        <v>297141.0</v>
      </c>
      <c r="L1000" s="10" t="s">
        <v>17</v>
      </c>
      <c r="M1000" s="15">
        <f t="shared" si="1"/>
        <v>-0.9513199158</v>
      </c>
      <c r="N1000" s="16">
        <v>474.78</v>
      </c>
    </row>
    <row r="1001" ht="15.75" customHeight="1">
      <c r="A1001" s="9" t="s">
        <v>1048</v>
      </c>
      <c r="B1001" s="10" t="s">
        <v>25</v>
      </c>
      <c r="C1001" s="11">
        <v>45918.0</v>
      </c>
      <c r="D1001" s="11">
        <v>45958.0</v>
      </c>
      <c r="E1001" s="10" t="s">
        <v>35</v>
      </c>
      <c r="F1001" s="12">
        <v>2831.0</v>
      </c>
      <c r="G1001" s="13">
        <v>179.0</v>
      </c>
      <c r="H1001" s="13">
        <v>25.0</v>
      </c>
      <c r="I1001" s="14">
        <v>4787.41</v>
      </c>
      <c r="J1001" s="13">
        <v>6854.0</v>
      </c>
      <c r="K1001" s="13">
        <v>143934.0</v>
      </c>
      <c r="L1001" s="10" t="s">
        <v>17</v>
      </c>
      <c r="M1001" s="15">
        <f t="shared" si="1"/>
        <v>0.6910667609</v>
      </c>
      <c r="N1001" s="16">
        <v>113.24</v>
      </c>
    </row>
    <row r="1002" ht="15.75" customHeight="1">
      <c r="A1002" s="9" t="s">
        <v>1049</v>
      </c>
      <c r="B1002" s="10" t="s">
        <v>62</v>
      </c>
      <c r="C1002" s="11">
        <v>45967.0</v>
      </c>
      <c r="D1002" s="11">
        <v>46027.0</v>
      </c>
      <c r="E1002" s="10" t="s">
        <v>26</v>
      </c>
      <c r="F1002" s="12">
        <v>22423.0</v>
      </c>
      <c r="G1002" s="13">
        <v>3113.0</v>
      </c>
      <c r="H1002" s="13">
        <v>3115.0</v>
      </c>
      <c r="I1002" s="14">
        <v>27050.47</v>
      </c>
      <c r="J1002" s="13">
        <v>62741.0</v>
      </c>
      <c r="K1002" s="13">
        <v>501928.0</v>
      </c>
      <c r="L1002" s="10" t="s">
        <v>17</v>
      </c>
      <c r="M1002" s="15">
        <f t="shared" si="1"/>
        <v>0.2063715827</v>
      </c>
      <c r="N1002" s="16">
        <v>7.2</v>
      </c>
    </row>
    <row r="1003" ht="15.75" customHeight="1">
      <c r="A1003" s="9" t="s">
        <v>1050</v>
      </c>
      <c r="B1003" s="10" t="s">
        <v>25</v>
      </c>
      <c r="C1003" s="11">
        <v>46043.0</v>
      </c>
      <c r="D1003" s="11">
        <v>46055.0</v>
      </c>
      <c r="E1003" s="10" t="s">
        <v>35</v>
      </c>
      <c r="F1003" s="12">
        <v>1351.0</v>
      </c>
      <c r="G1003" s="13">
        <v>93.0</v>
      </c>
      <c r="H1003" s="13">
        <v>27.0</v>
      </c>
      <c r="I1003" s="14">
        <v>2025.51</v>
      </c>
      <c r="J1003" s="13">
        <v>5262.0</v>
      </c>
      <c r="K1003" s="13">
        <v>42096.0</v>
      </c>
      <c r="L1003" s="10" t="s">
        <v>17</v>
      </c>
      <c r="M1003" s="15">
        <f t="shared" si="1"/>
        <v>0.4992672095</v>
      </c>
      <c r="N1003" s="16">
        <v>50.04</v>
      </c>
    </row>
    <row r="1004" ht="15.75" customHeight="1">
      <c r="A1004" s="9" t="s">
        <v>1051</v>
      </c>
      <c r="B1004" s="10" t="s">
        <v>30</v>
      </c>
      <c r="C1004" s="11">
        <v>46025.0</v>
      </c>
      <c r="D1004" s="11">
        <v>46043.0</v>
      </c>
      <c r="E1004" s="10" t="s">
        <v>16</v>
      </c>
      <c r="F1004" s="12">
        <v>48153.0</v>
      </c>
      <c r="G1004" s="13">
        <v>4570.0</v>
      </c>
      <c r="H1004" s="13">
        <v>784.0</v>
      </c>
      <c r="I1004" s="14">
        <v>51074.64</v>
      </c>
      <c r="J1004" s="13">
        <v>50763.0</v>
      </c>
      <c r="K1004" s="13">
        <v>1421364.0</v>
      </c>
      <c r="L1004" s="10" t="s">
        <v>17</v>
      </c>
      <c r="M1004" s="15">
        <f t="shared" si="1"/>
        <v>0.0606741013</v>
      </c>
      <c r="N1004" s="16">
        <v>61.42</v>
      </c>
    </row>
    <row r="1005" ht="15.75" customHeight="1">
      <c r="A1005" s="9" t="s">
        <v>1052</v>
      </c>
      <c r="B1005" s="10" t="s">
        <v>56</v>
      </c>
      <c r="C1005" s="11">
        <v>46018.0</v>
      </c>
      <c r="D1005" s="11">
        <v>46024.0</v>
      </c>
      <c r="E1005" s="10" t="s">
        <v>16</v>
      </c>
      <c r="F1005" s="12">
        <v>21795.0</v>
      </c>
      <c r="G1005" s="13">
        <v>1346.0</v>
      </c>
      <c r="H1005" s="13">
        <v>140.0</v>
      </c>
      <c r="I1005" s="14">
        <v>9539.39</v>
      </c>
      <c r="J1005" s="13">
        <v>17331.0</v>
      </c>
      <c r="K1005" s="13">
        <v>173310.0</v>
      </c>
      <c r="L1005" s="10" t="s">
        <v>17</v>
      </c>
      <c r="M1005" s="15">
        <f t="shared" si="1"/>
        <v>-0.5623129158</v>
      </c>
      <c r="N1005" s="16">
        <v>155.68</v>
      </c>
    </row>
    <row r="1006" ht="15.75" customHeight="1">
      <c r="A1006" s="9" t="s">
        <v>1053</v>
      </c>
      <c r="B1006" s="10" t="s">
        <v>25</v>
      </c>
      <c r="C1006" s="11">
        <v>45872.0</v>
      </c>
      <c r="D1006" s="11">
        <v>45931.0</v>
      </c>
      <c r="E1006" s="10" t="s">
        <v>26</v>
      </c>
      <c r="F1006" s="12">
        <v>2668.0</v>
      </c>
      <c r="G1006" s="13">
        <v>291.0</v>
      </c>
      <c r="H1006" s="13">
        <v>17.0</v>
      </c>
      <c r="I1006" s="14">
        <v>3188.57</v>
      </c>
      <c r="J1006" s="13">
        <v>4582.0</v>
      </c>
      <c r="K1006" s="13">
        <v>87058.0</v>
      </c>
      <c r="L1006" s="10" t="s">
        <v>17</v>
      </c>
      <c r="M1006" s="15">
        <f t="shared" si="1"/>
        <v>0.1951161919</v>
      </c>
      <c r="N1006" s="16">
        <v>156.94</v>
      </c>
    </row>
    <row r="1007" ht="15.75" customHeight="1">
      <c r="A1007" s="9" t="s">
        <v>1054</v>
      </c>
      <c r="B1007" s="10" t="s">
        <v>28</v>
      </c>
      <c r="C1007" s="11">
        <v>45851.0</v>
      </c>
      <c r="D1007" s="11">
        <v>45897.0</v>
      </c>
      <c r="E1007" s="10" t="s">
        <v>35</v>
      </c>
      <c r="F1007" s="12">
        <v>2512.0</v>
      </c>
      <c r="G1007" s="13">
        <v>382.0</v>
      </c>
      <c r="H1007" s="13">
        <v>83.0</v>
      </c>
      <c r="I1007" s="14">
        <v>18588.09</v>
      </c>
      <c r="J1007" s="13">
        <v>8728.0</v>
      </c>
      <c r="K1007" s="13">
        <v>253112.0</v>
      </c>
      <c r="L1007" s="10" t="s">
        <v>17</v>
      </c>
      <c r="M1007" s="15">
        <f t="shared" si="1"/>
        <v>6.399717357</v>
      </c>
      <c r="N1007" s="16">
        <v>30.27</v>
      </c>
    </row>
    <row r="1008" ht="15.75" customHeight="1">
      <c r="A1008" s="9" t="s">
        <v>1055</v>
      </c>
      <c r="B1008" s="10" t="s">
        <v>15</v>
      </c>
      <c r="C1008" s="11">
        <v>46112.0</v>
      </c>
      <c r="D1008" s="11">
        <v>46149.0</v>
      </c>
      <c r="E1008" s="10" t="s">
        <v>35</v>
      </c>
      <c r="F1008" s="12">
        <v>4901.0</v>
      </c>
      <c r="G1008" s="13">
        <v>65.0</v>
      </c>
      <c r="H1008" s="13">
        <v>8.0</v>
      </c>
      <c r="I1008" s="14">
        <v>960.25</v>
      </c>
      <c r="J1008" s="13">
        <v>3431.0</v>
      </c>
      <c r="K1008" s="13">
        <v>48034.0</v>
      </c>
      <c r="L1008" s="10" t="s">
        <v>17</v>
      </c>
      <c r="M1008" s="15">
        <f t="shared" si="1"/>
        <v>-0.8040705978</v>
      </c>
      <c r="N1008" s="16">
        <v>112.63</v>
      </c>
    </row>
    <row r="1009" ht="15.75" customHeight="1">
      <c r="A1009" s="9" t="s">
        <v>1056</v>
      </c>
      <c r="B1009" s="10" t="s">
        <v>52</v>
      </c>
      <c r="C1009" s="11">
        <v>46186.0</v>
      </c>
      <c r="D1009" s="11">
        <v>46234.0</v>
      </c>
      <c r="E1009" s="10" t="s">
        <v>26</v>
      </c>
      <c r="F1009" s="12">
        <v>6349.0</v>
      </c>
      <c r="G1009" s="13">
        <v>501.0</v>
      </c>
      <c r="H1009" s="13">
        <v>28.0</v>
      </c>
      <c r="I1009" s="14">
        <v>5095.71</v>
      </c>
      <c r="J1009" s="13">
        <v>9489.0</v>
      </c>
      <c r="K1009" s="13">
        <v>275181.0</v>
      </c>
      <c r="L1009" s="10" t="s">
        <v>17</v>
      </c>
      <c r="M1009" s="15">
        <f t="shared" si="1"/>
        <v>-0.1973995905</v>
      </c>
      <c r="N1009" s="16">
        <v>226.75</v>
      </c>
    </row>
    <row r="1010" ht="15.75" customHeight="1">
      <c r="A1010" s="9" t="s">
        <v>1057</v>
      </c>
      <c r="B1010" s="10" t="s">
        <v>28</v>
      </c>
      <c r="C1010" s="11">
        <v>46114.0</v>
      </c>
      <c r="D1010" s="11">
        <v>46134.0</v>
      </c>
      <c r="E1010" s="10" t="s">
        <v>26</v>
      </c>
      <c r="F1010" s="12">
        <v>20638.0</v>
      </c>
      <c r="G1010" s="13">
        <v>3123.0</v>
      </c>
      <c r="H1010" s="13">
        <v>125.0</v>
      </c>
      <c r="I1010" s="14">
        <v>13250.69</v>
      </c>
      <c r="J1010" s="13">
        <v>62877.0</v>
      </c>
      <c r="K1010" s="13">
        <v>1383294.0</v>
      </c>
      <c r="L1010" s="10" t="s">
        <v>17</v>
      </c>
      <c r="M1010" s="15">
        <f t="shared" si="1"/>
        <v>-0.357946991</v>
      </c>
      <c r="N1010" s="16">
        <v>165.1</v>
      </c>
    </row>
    <row r="1011" ht="15.75" customHeight="1">
      <c r="A1011" s="9" t="s">
        <v>1058</v>
      </c>
      <c r="B1011" s="10" t="s">
        <v>15</v>
      </c>
      <c r="C1011" s="11">
        <v>46146.0</v>
      </c>
      <c r="D1011" s="11">
        <v>46206.0</v>
      </c>
      <c r="E1011" s="10" t="s">
        <v>26</v>
      </c>
      <c r="F1011" s="12">
        <v>17913.0</v>
      </c>
      <c r="G1011" s="13">
        <v>931.0</v>
      </c>
      <c r="H1011" s="13">
        <v>56.0</v>
      </c>
      <c r="I1011" s="14">
        <v>5780.78</v>
      </c>
      <c r="J1011" s="13">
        <v>30587.0</v>
      </c>
      <c r="K1011" s="13">
        <v>887023.0</v>
      </c>
      <c r="L1011" s="10" t="s">
        <v>17</v>
      </c>
      <c r="M1011" s="15">
        <f t="shared" si="1"/>
        <v>-0.6772857701</v>
      </c>
      <c r="N1011" s="16">
        <v>319.88</v>
      </c>
    </row>
    <row r="1012" ht="15.75" customHeight="1">
      <c r="A1012" s="9" t="s">
        <v>1059</v>
      </c>
      <c r="B1012" s="10" t="s">
        <v>47</v>
      </c>
      <c r="C1012" s="11">
        <v>45871.0</v>
      </c>
      <c r="D1012" s="11">
        <v>45892.0</v>
      </c>
      <c r="E1012" s="10" t="s">
        <v>26</v>
      </c>
      <c r="F1012" s="12">
        <v>15292.0</v>
      </c>
      <c r="G1012" s="13">
        <v>1162.0</v>
      </c>
      <c r="H1012" s="13">
        <v>75.0</v>
      </c>
      <c r="I1012" s="14">
        <v>13303.57</v>
      </c>
      <c r="J1012" s="13">
        <v>19266.0</v>
      </c>
      <c r="K1012" s="13">
        <v>231192.0</v>
      </c>
      <c r="L1012" s="10" t="s">
        <v>17</v>
      </c>
      <c r="M1012" s="15">
        <f t="shared" si="1"/>
        <v>-0.130030735</v>
      </c>
      <c r="N1012" s="16">
        <v>203.89</v>
      </c>
    </row>
    <row r="1013" ht="15.75" customHeight="1">
      <c r="A1013" s="9" t="s">
        <v>1060</v>
      </c>
      <c r="B1013" s="10" t="s">
        <v>28</v>
      </c>
      <c r="C1013" s="11">
        <v>45840.0</v>
      </c>
      <c r="D1013" s="11">
        <v>45866.0</v>
      </c>
      <c r="E1013" s="10" t="s">
        <v>26</v>
      </c>
      <c r="F1013" s="12">
        <v>10105.0</v>
      </c>
      <c r="G1013" s="13">
        <v>995.0</v>
      </c>
      <c r="H1013" s="13">
        <v>78.0</v>
      </c>
      <c r="I1013" s="14">
        <v>12906.44</v>
      </c>
      <c r="J1013" s="13">
        <v>26403.0</v>
      </c>
      <c r="K1013" s="13">
        <v>369642.0</v>
      </c>
      <c r="L1013" s="10" t="s">
        <v>17</v>
      </c>
      <c r="M1013" s="15">
        <f t="shared" si="1"/>
        <v>0.2772330529</v>
      </c>
      <c r="N1013" s="16">
        <v>129.55</v>
      </c>
    </row>
    <row r="1014" ht="15.75" customHeight="1">
      <c r="A1014" s="9" t="s">
        <v>1061</v>
      </c>
      <c r="B1014" s="10" t="s">
        <v>47</v>
      </c>
      <c r="C1014" s="11">
        <v>45860.0</v>
      </c>
      <c r="D1014" s="11">
        <v>45888.0</v>
      </c>
      <c r="E1014" s="10" t="s">
        <v>26</v>
      </c>
      <c r="F1014" s="12">
        <v>15469.0</v>
      </c>
      <c r="G1014" s="13">
        <v>1556.0</v>
      </c>
      <c r="H1014" s="13">
        <v>53.0</v>
      </c>
      <c r="I1014" s="14">
        <v>3723.79</v>
      </c>
      <c r="J1014" s="13">
        <v>19395.0</v>
      </c>
      <c r="K1014" s="13">
        <v>523665.0</v>
      </c>
      <c r="L1014" s="10" t="s">
        <v>17</v>
      </c>
      <c r="M1014" s="15">
        <f t="shared" si="1"/>
        <v>-0.7592740319</v>
      </c>
      <c r="N1014" s="16">
        <v>291.87</v>
      </c>
    </row>
    <row r="1015" ht="15.75" customHeight="1">
      <c r="A1015" s="9" t="s">
        <v>1062</v>
      </c>
      <c r="B1015" s="10" t="s">
        <v>52</v>
      </c>
      <c r="C1015" s="11">
        <v>45899.0</v>
      </c>
      <c r="D1015" s="11">
        <v>45912.0</v>
      </c>
      <c r="E1015" s="10" t="s">
        <v>26</v>
      </c>
      <c r="F1015" s="12">
        <v>4423.0</v>
      </c>
      <c r="G1015" s="13">
        <v>991.0</v>
      </c>
      <c r="H1015" s="13">
        <v>67.0</v>
      </c>
      <c r="I1015" s="14">
        <v>6392.72</v>
      </c>
      <c r="J1015" s="13">
        <v>9998.0</v>
      </c>
      <c r="K1015" s="13">
        <v>189962.0</v>
      </c>
      <c r="L1015" s="10" t="s">
        <v>17</v>
      </c>
      <c r="M1015" s="15">
        <f t="shared" si="1"/>
        <v>0.445335745</v>
      </c>
      <c r="N1015" s="16">
        <v>66.01</v>
      </c>
    </row>
    <row r="1016" ht="15.75" customHeight="1">
      <c r="A1016" s="9" t="s">
        <v>1063</v>
      </c>
      <c r="B1016" s="10" t="s">
        <v>25</v>
      </c>
      <c r="C1016" s="11">
        <v>45934.0</v>
      </c>
      <c r="D1016" s="11">
        <v>45962.0</v>
      </c>
      <c r="E1016" s="10" t="s">
        <v>16</v>
      </c>
      <c r="F1016" s="12">
        <v>9730.0</v>
      </c>
      <c r="G1016" s="13">
        <v>893.0</v>
      </c>
      <c r="H1016" s="13">
        <v>50.0</v>
      </c>
      <c r="I1016" s="14">
        <v>3984.04</v>
      </c>
      <c r="J1016" s="13">
        <v>7997.0</v>
      </c>
      <c r="K1016" s="13">
        <v>143946.0</v>
      </c>
      <c r="L1016" s="10" t="s">
        <v>17</v>
      </c>
      <c r="M1016" s="15">
        <f t="shared" si="1"/>
        <v>-0.5905405961</v>
      </c>
      <c r="N1016" s="16">
        <v>194.6</v>
      </c>
    </row>
    <row r="1017" ht="15.75" customHeight="1">
      <c r="A1017" s="9" t="s">
        <v>1064</v>
      </c>
      <c r="B1017" s="10" t="s">
        <v>30</v>
      </c>
      <c r="C1017" s="11">
        <v>45985.0</v>
      </c>
      <c r="D1017" s="11">
        <v>46035.0</v>
      </c>
      <c r="E1017" s="10" t="s">
        <v>26</v>
      </c>
      <c r="F1017" s="12">
        <v>20746.0</v>
      </c>
      <c r="G1017" s="13">
        <v>2422.0</v>
      </c>
      <c r="H1017" s="13">
        <v>188.0</v>
      </c>
      <c r="I1017" s="14">
        <v>61469.7</v>
      </c>
      <c r="J1017" s="13">
        <v>44243.0</v>
      </c>
      <c r="K1017" s="13">
        <v>840617.0</v>
      </c>
      <c r="L1017" s="10" t="s">
        <v>17</v>
      </c>
      <c r="M1017" s="15">
        <f t="shared" si="1"/>
        <v>1.962966355</v>
      </c>
      <c r="N1017" s="16">
        <v>110.35</v>
      </c>
    </row>
    <row r="1018" ht="15.75" customHeight="1">
      <c r="A1018" s="9" t="s">
        <v>1065</v>
      </c>
      <c r="B1018" s="10" t="s">
        <v>15</v>
      </c>
      <c r="C1018" s="11">
        <v>46055.0</v>
      </c>
      <c r="D1018" s="11">
        <v>46059.0</v>
      </c>
      <c r="E1018" s="10" t="s">
        <v>26</v>
      </c>
      <c r="F1018" s="12">
        <v>17168.0</v>
      </c>
      <c r="G1018" s="13">
        <v>1205.0</v>
      </c>
      <c r="H1018" s="13">
        <v>24.0</v>
      </c>
      <c r="I1018" s="14">
        <v>4776.7</v>
      </c>
      <c r="J1018" s="13">
        <v>30153.0</v>
      </c>
      <c r="K1018" s="13">
        <v>572907.0</v>
      </c>
      <c r="L1018" s="10" t="s">
        <v>17</v>
      </c>
      <c r="M1018" s="15">
        <f t="shared" si="1"/>
        <v>-0.7217672414</v>
      </c>
      <c r="N1018" s="16">
        <v>715.33</v>
      </c>
    </row>
    <row r="1019" ht="15.75" customHeight="1">
      <c r="A1019" s="9" t="s">
        <v>1066</v>
      </c>
      <c r="B1019" s="10" t="s">
        <v>47</v>
      </c>
      <c r="C1019" s="11">
        <v>45996.0</v>
      </c>
      <c r="D1019" s="11">
        <v>46027.0</v>
      </c>
      <c r="E1019" s="10" t="s">
        <v>16</v>
      </c>
      <c r="F1019" s="12">
        <v>44169.0</v>
      </c>
      <c r="G1019" s="13">
        <v>2265.0</v>
      </c>
      <c r="H1019" s="13">
        <v>191.0</v>
      </c>
      <c r="I1019" s="14">
        <v>31965.82</v>
      </c>
      <c r="J1019" s="13">
        <v>36513.0</v>
      </c>
      <c r="K1019" s="13">
        <v>803286.0</v>
      </c>
      <c r="L1019" s="10" t="s">
        <v>17</v>
      </c>
      <c r="M1019" s="15">
        <f t="shared" si="1"/>
        <v>-0.276283819</v>
      </c>
      <c r="N1019" s="16">
        <v>231.25</v>
      </c>
    </row>
    <row r="1020" ht="15.75" customHeight="1">
      <c r="A1020" s="9" t="s">
        <v>1067</v>
      </c>
      <c r="B1020" s="10" t="s">
        <v>30</v>
      </c>
      <c r="C1020" s="11">
        <v>46074.0</v>
      </c>
      <c r="D1020" s="11">
        <v>46101.0</v>
      </c>
      <c r="E1020" s="10" t="s">
        <v>35</v>
      </c>
      <c r="F1020" s="12">
        <v>2330.0</v>
      </c>
      <c r="G1020" s="13">
        <v>124.0</v>
      </c>
      <c r="H1020" s="13">
        <v>18.0</v>
      </c>
      <c r="I1020" s="14">
        <v>2956.74</v>
      </c>
      <c r="J1020" s="13">
        <v>7670.0</v>
      </c>
      <c r="K1020" s="13">
        <v>92040.0</v>
      </c>
      <c r="L1020" s="10" t="s">
        <v>17</v>
      </c>
      <c r="M1020" s="15">
        <f t="shared" si="1"/>
        <v>0.2689871245</v>
      </c>
      <c r="N1020" s="16">
        <v>129.44</v>
      </c>
    </row>
    <row r="1021" ht="15.75" customHeight="1">
      <c r="A1021" s="9" t="s">
        <v>1068</v>
      </c>
      <c r="B1021" s="10" t="s">
        <v>56</v>
      </c>
      <c r="C1021" s="11">
        <v>45839.0</v>
      </c>
      <c r="D1021" s="11">
        <v>45846.0</v>
      </c>
      <c r="E1021" s="10" t="s">
        <v>35</v>
      </c>
      <c r="F1021" s="12">
        <v>4267.0</v>
      </c>
      <c r="G1021" s="13">
        <v>254.0</v>
      </c>
      <c r="H1021" s="13">
        <v>56.0</v>
      </c>
      <c r="I1021" s="14">
        <v>7202.82</v>
      </c>
      <c r="J1021" s="13">
        <v>18569.0</v>
      </c>
      <c r="K1021" s="13">
        <v>445656.0</v>
      </c>
      <c r="L1021" s="10" t="s">
        <v>17</v>
      </c>
      <c r="M1021" s="15">
        <f t="shared" si="1"/>
        <v>0.6880290602</v>
      </c>
      <c r="N1021" s="16">
        <v>76.2</v>
      </c>
    </row>
    <row r="1022" ht="15.75" customHeight="1">
      <c r="A1022" s="9" t="s">
        <v>1069</v>
      </c>
      <c r="B1022" s="10" t="s">
        <v>28</v>
      </c>
      <c r="C1022" s="11">
        <v>46003.0</v>
      </c>
      <c r="D1022" s="11">
        <v>46061.0</v>
      </c>
      <c r="E1022" s="10" t="s">
        <v>26</v>
      </c>
      <c r="F1022" s="12">
        <v>5255.0</v>
      </c>
      <c r="G1022" s="13">
        <v>554.0</v>
      </c>
      <c r="H1022" s="13">
        <v>21.0</v>
      </c>
      <c r="I1022" s="14">
        <v>3716.85</v>
      </c>
      <c r="J1022" s="13">
        <v>11393.0</v>
      </c>
      <c r="K1022" s="13">
        <v>113930.0</v>
      </c>
      <c r="L1022" s="10" t="s">
        <v>17</v>
      </c>
      <c r="M1022" s="15">
        <f t="shared" si="1"/>
        <v>-0.2927021884</v>
      </c>
      <c r="N1022" s="16">
        <v>250.24</v>
      </c>
    </row>
    <row r="1023" ht="15.75" customHeight="1">
      <c r="A1023" s="9" t="s">
        <v>1070</v>
      </c>
      <c r="B1023" s="10" t="s">
        <v>58</v>
      </c>
      <c r="C1023" s="11">
        <v>46040.0</v>
      </c>
      <c r="D1023" s="11">
        <v>46093.0</v>
      </c>
      <c r="E1023" s="10" t="s">
        <v>35</v>
      </c>
      <c r="F1023" s="12">
        <v>3129.0</v>
      </c>
      <c r="G1023" s="13">
        <v>483.0</v>
      </c>
      <c r="H1023" s="13">
        <v>143.0</v>
      </c>
      <c r="I1023" s="14">
        <v>25419.05</v>
      </c>
      <c r="J1023" s="13">
        <v>13924.0</v>
      </c>
      <c r="K1023" s="13">
        <v>306328.0</v>
      </c>
      <c r="L1023" s="10" t="s">
        <v>17</v>
      </c>
      <c r="M1023" s="15">
        <f t="shared" si="1"/>
        <v>7.123697667</v>
      </c>
      <c r="N1023" s="16">
        <v>21.88</v>
      </c>
    </row>
    <row r="1024" ht="15.75" customHeight="1">
      <c r="A1024" s="9" t="s">
        <v>1071</v>
      </c>
      <c r="B1024" s="10" t="s">
        <v>75</v>
      </c>
      <c r="C1024" s="11">
        <v>45986.0</v>
      </c>
      <c r="D1024" s="11">
        <v>45994.0</v>
      </c>
      <c r="E1024" s="10" t="s">
        <v>26</v>
      </c>
      <c r="F1024" s="12">
        <v>3731.0</v>
      </c>
      <c r="G1024" s="13">
        <v>425.0</v>
      </c>
      <c r="H1024" s="13">
        <v>24.0</v>
      </c>
      <c r="I1024" s="14">
        <v>1511.3</v>
      </c>
      <c r="J1024" s="13">
        <v>4816.0</v>
      </c>
      <c r="K1024" s="13">
        <v>91504.0</v>
      </c>
      <c r="L1024" s="10" t="s">
        <v>17</v>
      </c>
      <c r="M1024" s="15">
        <f t="shared" si="1"/>
        <v>-0.594934334</v>
      </c>
      <c r="N1024" s="16">
        <v>155.46</v>
      </c>
    </row>
    <row r="1025" ht="15.75" customHeight="1">
      <c r="A1025" s="9" t="s">
        <v>1072</v>
      </c>
      <c r="B1025" s="10" t="s">
        <v>58</v>
      </c>
      <c r="C1025" s="11">
        <v>45840.0</v>
      </c>
      <c r="D1025" s="11">
        <v>45896.0</v>
      </c>
      <c r="E1025" s="10" t="s">
        <v>16</v>
      </c>
      <c r="F1025" s="12">
        <v>35160.0</v>
      </c>
      <c r="G1025" s="13">
        <v>7577.0</v>
      </c>
      <c r="H1025" s="13">
        <v>1196.0</v>
      </c>
      <c r="I1025" s="14">
        <v>185000.85</v>
      </c>
      <c r="J1025" s="13">
        <v>68432.0</v>
      </c>
      <c r="K1025" s="13">
        <v>1368640.0</v>
      </c>
      <c r="L1025" s="10" t="s">
        <v>17</v>
      </c>
      <c r="M1025" s="15">
        <f t="shared" si="1"/>
        <v>4.261685154</v>
      </c>
      <c r="N1025" s="16">
        <v>29.4</v>
      </c>
    </row>
    <row r="1026" ht="15.75" customHeight="1">
      <c r="A1026" s="9" t="s">
        <v>1073</v>
      </c>
      <c r="B1026" s="10" t="s">
        <v>47</v>
      </c>
      <c r="C1026" s="11">
        <v>46132.0</v>
      </c>
      <c r="D1026" s="11">
        <v>46163.0</v>
      </c>
      <c r="E1026" s="10" t="s">
        <v>26</v>
      </c>
      <c r="F1026" s="12">
        <v>11257.0</v>
      </c>
      <c r="G1026" s="13">
        <v>841.0</v>
      </c>
      <c r="H1026" s="13">
        <v>32.0</v>
      </c>
      <c r="I1026" s="14">
        <v>2345.4</v>
      </c>
      <c r="J1026" s="13">
        <v>19033.0</v>
      </c>
      <c r="K1026" s="13">
        <v>494858.0</v>
      </c>
      <c r="L1026" s="10" t="s">
        <v>17</v>
      </c>
      <c r="M1026" s="15">
        <f t="shared" si="1"/>
        <v>-0.7916496402</v>
      </c>
      <c r="N1026" s="16">
        <v>351.78</v>
      </c>
    </row>
    <row r="1027" ht="15.75" customHeight="1">
      <c r="A1027" s="9" t="s">
        <v>1074</v>
      </c>
      <c r="B1027" s="10" t="s">
        <v>25</v>
      </c>
      <c r="C1027" s="11">
        <v>45970.0</v>
      </c>
      <c r="D1027" s="11">
        <v>46011.0</v>
      </c>
      <c r="E1027" s="10" t="s">
        <v>35</v>
      </c>
      <c r="F1027" s="12">
        <v>4945.0</v>
      </c>
      <c r="G1027" s="13">
        <v>355.0</v>
      </c>
      <c r="H1027" s="13">
        <v>65.0</v>
      </c>
      <c r="I1027" s="14">
        <v>6265.96</v>
      </c>
      <c r="J1027" s="13">
        <v>13880.0</v>
      </c>
      <c r="K1027" s="13">
        <v>291480.0</v>
      </c>
      <c r="L1027" s="10" t="s">
        <v>17</v>
      </c>
      <c r="M1027" s="15">
        <f t="shared" si="1"/>
        <v>0.2671304348</v>
      </c>
      <c r="N1027" s="16">
        <v>76.08</v>
      </c>
    </row>
    <row r="1028" ht="15.75" customHeight="1">
      <c r="A1028" s="9" t="s">
        <v>1075</v>
      </c>
      <c r="B1028" s="10" t="s">
        <v>30</v>
      </c>
      <c r="C1028" s="11">
        <v>46141.0</v>
      </c>
      <c r="D1028" s="11">
        <v>46160.0</v>
      </c>
      <c r="E1028" s="10" t="s">
        <v>35</v>
      </c>
      <c r="F1028" s="12">
        <v>3921.0</v>
      </c>
      <c r="G1028" s="13">
        <v>253.0</v>
      </c>
      <c r="H1028" s="13">
        <v>30.0</v>
      </c>
      <c r="I1028" s="14">
        <v>5015.78</v>
      </c>
      <c r="J1028" s="13">
        <v>21160.0</v>
      </c>
      <c r="K1028" s="13">
        <v>380880.0</v>
      </c>
      <c r="L1028" s="10" t="s">
        <v>17</v>
      </c>
      <c r="M1028" s="15">
        <f t="shared" si="1"/>
        <v>0.2792093854</v>
      </c>
      <c r="N1028" s="16">
        <v>130.7</v>
      </c>
    </row>
    <row r="1029" ht="15.75" customHeight="1">
      <c r="A1029" s="9" t="s">
        <v>1076</v>
      </c>
      <c r="B1029" s="10" t="s">
        <v>62</v>
      </c>
      <c r="C1029" s="11">
        <v>46197.0</v>
      </c>
      <c r="D1029" s="11">
        <v>46204.0</v>
      </c>
      <c r="E1029" s="10" t="s">
        <v>26</v>
      </c>
      <c r="F1029" s="12">
        <v>8478.0</v>
      </c>
      <c r="G1029" s="13">
        <v>558.0</v>
      </c>
      <c r="H1029" s="13">
        <v>34.0</v>
      </c>
      <c r="I1029" s="14">
        <v>46345.75</v>
      </c>
      <c r="J1029" s="13">
        <v>15081.0</v>
      </c>
      <c r="K1029" s="13">
        <v>256377.0</v>
      </c>
      <c r="L1029" s="10" t="s">
        <v>17</v>
      </c>
      <c r="M1029" s="15">
        <f t="shared" si="1"/>
        <v>4.466589998</v>
      </c>
      <c r="N1029" s="16">
        <v>249.35</v>
      </c>
    </row>
    <row r="1030" ht="15.75" customHeight="1">
      <c r="A1030" s="9" t="s">
        <v>1077</v>
      </c>
      <c r="B1030" s="10" t="s">
        <v>30</v>
      </c>
      <c r="C1030" s="11">
        <v>46042.0</v>
      </c>
      <c r="D1030" s="11">
        <v>46090.0</v>
      </c>
      <c r="E1030" s="10" t="s">
        <v>26</v>
      </c>
      <c r="F1030" s="12">
        <v>17609.0</v>
      </c>
      <c r="G1030" s="13">
        <v>3502.0</v>
      </c>
      <c r="H1030" s="13">
        <v>226.0</v>
      </c>
      <c r="I1030" s="14">
        <v>30790.54</v>
      </c>
      <c r="J1030" s="13">
        <v>24537.0</v>
      </c>
      <c r="K1030" s="13">
        <v>613425.0</v>
      </c>
      <c r="L1030" s="10" t="s">
        <v>17</v>
      </c>
      <c r="M1030" s="15">
        <f t="shared" si="1"/>
        <v>0.7485683457</v>
      </c>
      <c r="N1030" s="16">
        <v>77.92</v>
      </c>
    </row>
    <row r="1031" ht="15.75" customHeight="1">
      <c r="A1031" s="9" t="s">
        <v>1078</v>
      </c>
      <c r="B1031" s="10" t="s">
        <v>62</v>
      </c>
      <c r="C1031" s="11">
        <v>46106.0</v>
      </c>
      <c r="D1031" s="11">
        <v>46112.0</v>
      </c>
      <c r="E1031" s="10" t="s">
        <v>26</v>
      </c>
      <c r="F1031" s="12">
        <v>15096.0</v>
      </c>
      <c r="G1031" s="13">
        <v>2096.0</v>
      </c>
      <c r="H1031" s="13">
        <v>129.0</v>
      </c>
      <c r="I1031" s="14">
        <v>22741.71</v>
      </c>
      <c r="J1031" s="13">
        <v>16914.0</v>
      </c>
      <c r="K1031" s="13">
        <v>422850.0</v>
      </c>
      <c r="L1031" s="10" t="s">
        <v>17</v>
      </c>
      <c r="M1031" s="15">
        <f t="shared" si="1"/>
        <v>0.5064725755</v>
      </c>
      <c r="N1031" s="16">
        <v>117.02</v>
      </c>
    </row>
    <row r="1032" ht="15.75" customHeight="1">
      <c r="A1032" s="9" t="s">
        <v>1079</v>
      </c>
      <c r="B1032" s="10" t="s">
        <v>47</v>
      </c>
      <c r="C1032" s="11">
        <v>46058.0</v>
      </c>
      <c r="D1032" s="11">
        <v>46104.0</v>
      </c>
      <c r="E1032" s="10" t="s">
        <v>26</v>
      </c>
      <c r="F1032" s="12">
        <v>17043.0</v>
      </c>
      <c r="G1032" s="13">
        <v>1017.0</v>
      </c>
      <c r="H1032" s="13">
        <v>58.0</v>
      </c>
      <c r="I1032" s="14">
        <v>15936.94</v>
      </c>
      <c r="J1032" s="13">
        <v>26612.0</v>
      </c>
      <c r="K1032" s="13">
        <v>532240.0</v>
      </c>
      <c r="L1032" s="10" t="s">
        <v>17</v>
      </c>
      <c r="M1032" s="15">
        <f t="shared" si="1"/>
        <v>-0.06489819867</v>
      </c>
      <c r="N1032" s="16">
        <v>293.84</v>
      </c>
    </row>
    <row r="1033" ht="15.75" customHeight="1">
      <c r="A1033" s="9" t="s">
        <v>1080</v>
      </c>
      <c r="B1033" s="10" t="s">
        <v>47</v>
      </c>
      <c r="C1033" s="11">
        <v>46105.0</v>
      </c>
      <c r="D1033" s="11">
        <v>46158.0</v>
      </c>
      <c r="E1033" s="10" t="s">
        <v>16</v>
      </c>
      <c r="F1033" s="12">
        <v>34192.0</v>
      </c>
      <c r="G1033" s="13">
        <v>3948.0</v>
      </c>
      <c r="H1033" s="13">
        <v>612.0</v>
      </c>
      <c r="I1033" s="14">
        <v>30723.96</v>
      </c>
      <c r="J1033" s="13">
        <v>25218.0</v>
      </c>
      <c r="K1033" s="13">
        <v>403488.0</v>
      </c>
      <c r="L1033" s="10" t="s">
        <v>17</v>
      </c>
      <c r="M1033" s="15">
        <f t="shared" si="1"/>
        <v>-0.1014284043</v>
      </c>
      <c r="N1033" s="16">
        <v>55.87</v>
      </c>
    </row>
    <row r="1034" ht="15.75" customHeight="1">
      <c r="A1034" s="9" t="s">
        <v>1081</v>
      </c>
      <c r="B1034" s="10" t="s">
        <v>15</v>
      </c>
      <c r="C1034" s="11">
        <v>45990.0</v>
      </c>
      <c r="D1034" s="11">
        <v>45993.0</v>
      </c>
      <c r="E1034" s="10" t="s">
        <v>16</v>
      </c>
      <c r="F1034" s="12">
        <v>16418.0</v>
      </c>
      <c r="G1034" s="13">
        <v>2272.0</v>
      </c>
      <c r="H1034" s="13">
        <v>350.0</v>
      </c>
      <c r="I1034" s="14">
        <v>41593.77</v>
      </c>
      <c r="J1034" s="13">
        <v>12314.0</v>
      </c>
      <c r="K1034" s="13">
        <v>283222.0</v>
      </c>
      <c r="L1034" s="10" t="s">
        <v>17</v>
      </c>
      <c r="M1034" s="15">
        <f t="shared" si="1"/>
        <v>1.5334249</v>
      </c>
      <c r="N1034" s="16">
        <v>46.91</v>
      </c>
    </row>
    <row r="1035" ht="15.75" customHeight="1">
      <c r="A1035" s="9" t="s">
        <v>1082</v>
      </c>
      <c r="B1035" s="10" t="s">
        <v>30</v>
      </c>
      <c r="C1035" s="11">
        <v>45862.0</v>
      </c>
      <c r="D1035" s="11">
        <v>45921.0</v>
      </c>
      <c r="E1035" s="10" t="s">
        <v>16</v>
      </c>
      <c r="F1035" s="12">
        <v>47777.0</v>
      </c>
      <c r="G1035" s="13">
        <v>7393.0</v>
      </c>
      <c r="H1035" s="13">
        <v>656.0</v>
      </c>
      <c r="I1035" s="14">
        <v>18245.54</v>
      </c>
      <c r="J1035" s="13">
        <v>33256.0</v>
      </c>
      <c r="K1035" s="13">
        <v>831400.0</v>
      </c>
      <c r="L1035" s="10" t="s">
        <v>17</v>
      </c>
      <c r="M1035" s="15">
        <f t="shared" si="1"/>
        <v>-0.6181103878</v>
      </c>
      <c r="N1035" s="16">
        <v>72.83</v>
      </c>
    </row>
    <row r="1036" ht="15.75" customHeight="1">
      <c r="A1036" s="9" t="s">
        <v>1083</v>
      </c>
      <c r="B1036" s="10" t="s">
        <v>30</v>
      </c>
      <c r="C1036" s="11">
        <v>45947.0</v>
      </c>
      <c r="D1036" s="11">
        <v>45967.0</v>
      </c>
      <c r="E1036" s="10" t="s">
        <v>35</v>
      </c>
      <c r="F1036" s="12">
        <v>899.0</v>
      </c>
      <c r="G1036" s="13">
        <v>177.0</v>
      </c>
      <c r="H1036" s="13">
        <v>38.0</v>
      </c>
      <c r="I1036" s="14">
        <v>5953.88</v>
      </c>
      <c r="J1036" s="13">
        <v>2980.0</v>
      </c>
      <c r="K1036" s="13">
        <v>35760.0</v>
      </c>
      <c r="L1036" s="10" t="s">
        <v>17</v>
      </c>
      <c r="M1036" s="15">
        <f t="shared" si="1"/>
        <v>5.622780868</v>
      </c>
      <c r="N1036" s="16">
        <v>23.66</v>
      </c>
    </row>
    <row r="1037" ht="15.75" customHeight="1">
      <c r="A1037" s="9" t="s">
        <v>1084</v>
      </c>
      <c r="B1037" s="10" t="s">
        <v>62</v>
      </c>
      <c r="C1037" s="11">
        <v>46024.0</v>
      </c>
      <c r="D1037" s="11">
        <v>46051.0</v>
      </c>
      <c r="E1037" s="10" t="s">
        <v>26</v>
      </c>
      <c r="F1037" s="12">
        <v>22468.0</v>
      </c>
      <c r="G1037" s="13">
        <v>2473.0</v>
      </c>
      <c r="H1037" s="13">
        <v>89.0</v>
      </c>
      <c r="I1037" s="14">
        <v>14446.69</v>
      </c>
      <c r="J1037" s="13">
        <v>72969.0</v>
      </c>
      <c r="K1037" s="13">
        <v>1751256.0</v>
      </c>
      <c r="L1037" s="10" t="s">
        <v>17</v>
      </c>
      <c r="M1037" s="15">
        <f t="shared" si="1"/>
        <v>-0.3570104148</v>
      </c>
      <c r="N1037" s="16">
        <v>252.45</v>
      </c>
    </row>
    <row r="1038" ht="15.75" customHeight="1">
      <c r="A1038" s="9" t="s">
        <v>1085</v>
      </c>
      <c r="B1038" s="10" t="s">
        <v>75</v>
      </c>
      <c r="C1038" s="11">
        <v>45885.0</v>
      </c>
      <c r="D1038" s="11">
        <v>45910.0</v>
      </c>
      <c r="E1038" s="10" t="s">
        <v>35</v>
      </c>
      <c r="F1038" s="12">
        <v>1946.0</v>
      </c>
      <c r="G1038" s="13">
        <v>111.0</v>
      </c>
      <c r="H1038" s="13">
        <v>18.0</v>
      </c>
      <c r="I1038" s="14">
        <v>825.4</v>
      </c>
      <c r="J1038" s="13">
        <v>7842.0</v>
      </c>
      <c r="K1038" s="13">
        <v>227418.0</v>
      </c>
      <c r="L1038" s="10" t="s">
        <v>17</v>
      </c>
      <c r="M1038" s="15">
        <f t="shared" si="1"/>
        <v>-0.5758478931</v>
      </c>
      <c r="N1038" s="16">
        <v>108.11</v>
      </c>
    </row>
    <row r="1039" ht="15.75" customHeight="1">
      <c r="A1039" s="9" t="s">
        <v>1086</v>
      </c>
      <c r="B1039" s="10" t="s">
        <v>38</v>
      </c>
      <c r="C1039" s="11">
        <v>45897.0</v>
      </c>
      <c r="D1039" s="11">
        <v>45942.0</v>
      </c>
      <c r="E1039" s="10" t="s">
        <v>16</v>
      </c>
      <c r="F1039" s="12">
        <v>27235.0</v>
      </c>
      <c r="G1039" s="13">
        <v>1723.0</v>
      </c>
      <c r="H1039" s="13">
        <v>101.0</v>
      </c>
      <c r="I1039" s="14">
        <v>3337.6</v>
      </c>
      <c r="J1039" s="13">
        <v>19462.0</v>
      </c>
      <c r="K1039" s="13">
        <v>233544.0</v>
      </c>
      <c r="L1039" s="10" t="s">
        <v>17</v>
      </c>
      <c r="M1039" s="15">
        <f t="shared" si="1"/>
        <v>-0.8774518083</v>
      </c>
      <c r="N1039" s="16">
        <v>269.65</v>
      </c>
    </row>
    <row r="1040" ht="15.75" customHeight="1">
      <c r="A1040" s="9" t="s">
        <v>1087</v>
      </c>
      <c r="B1040" s="10" t="s">
        <v>19</v>
      </c>
      <c r="C1040" s="11">
        <v>45980.0</v>
      </c>
      <c r="D1040" s="11">
        <v>45989.0</v>
      </c>
      <c r="E1040" s="10" t="s">
        <v>35</v>
      </c>
      <c r="F1040" s="12">
        <v>34242.0</v>
      </c>
      <c r="G1040" s="13">
        <v>564.0</v>
      </c>
      <c r="H1040" s="13">
        <v>74.0</v>
      </c>
      <c r="I1040" s="14">
        <v>15624.33</v>
      </c>
      <c r="J1040" s="13">
        <v>11271.0</v>
      </c>
      <c r="K1040" s="13">
        <v>180336.0</v>
      </c>
      <c r="L1040" s="10" t="s">
        <v>17</v>
      </c>
      <c r="M1040" s="15">
        <f t="shared" si="1"/>
        <v>-0.5437086035</v>
      </c>
      <c r="N1040" s="16">
        <v>57.32</v>
      </c>
    </row>
    <row r="1041" ht="15.75" customHeight="1">
      <c r="A1041" s="9" t="s">
        <v>1088</v>
      </c>
      <c r="B1041" s="10" t="s">
        <v>25</v>
      </c>
      <c r="C1041" s="11">
        <v>46066.0</v>
      </c>
      <c r="D1041" s="11">
        <v>46081.0</v>
      </c>
      <c r="E1041" s="10" t="s">
        <v>26</v>
      </c>
      <c r="F1041" s="12">
        <v>2581.0</v>
      </c>
      <c r="G1041" s="13">
        <v>191.0</v>
      </c>
      <c r="H1041" s="13">
        <v>8.0</v>
      </c>
      <c r="I1041" s="14">
        <v>1341.26</v>
      </c>
      <c r="J1041" s="13">
        <v>6309.0</v>
      </c>
      <c r="K1041" s="13">
        <v>63090.0</v>
      </c>
      <c r="L1041" s="10" t="s">
        <v>17</v>
      </c>
      <c r="M1041" s="15">
        <f t="shared" si="1"/>
        <v>-0.4803332042</v>
      </c>
      <c r="N1041" s="16">
        <v>322.63</v>
      </c>
    </row>
    <row r="1042" ht="15.75" customHeight="1">
      <c r="A1042" s="9" t="s">
        <v>1089</v>
      </c>
      <c r="B1042" s="10" t="s">
        <v>19</v>
      </c>
      <c r="C1042" s="11">
        <v>46069.0</v>
      </c>
      <c r="D1042" s="11">
        <v>46111.0</v>
      </c>
      <c r="E1042" s="10" t="s">
        <v>16</v>
      </c>
      <c r="F1042" s="12">
        <v>39937.0</v>
      </c>
      <c r="G1042" s="13">
        <v>6216.0</v>
      </c>
      <c r="H1042" s="13">
        <v>1075.0</v>
      </c>
      <c r="I1042" s="14">
        <v>82017.66</v>
      </c>
      <c r="J1042" s="13">
        <v>75785.0</v>
      </c>
      <c r="K1042" s="13">
        <v>1591485.0</v>
      </c>
      <c r="L1042" s="10" t="s">
        <v>17</v>
      </c>
      <c r="M1042" s="15">
        <f t="shared" si="1"/>
        <v>1.05367604</v>
      </c>
      <c r="N1042" s="16">
        <v>37.15</v>
      </c>
    </row>
    <row r="1043" ht="15.75" customHeight="1">
      <c r="A1043" s="9" t="s">
        <v>1090</v>
      </c>
      <c r="B1043" s="10" t="s">
        <v>19</v>
      </c>
      <c r="C1043" s="11">
        <v>46068.0</v>
      </c>
      <c r="D1043" s="11">
        <v>46074.0</v>
      </c>
      <c r="E1043" s="10" t="s">
        <v>16</v>
      </c>
      <c r="F1043" s="12">
        <v>50981.0</v>
      </c>
      <c r="G1043" s="13">
        <v>4450.0</v>
      </c>
      <c r="H1043" s="13">
        <v>736.0</v>
      </c>
      <c r="I1043" s="14">
        <v>87086.68</v>
      </c>
      <c r="J1043" s="13">
        <v>65312.0</v>
      </c>
      <c r="K1043" s="13">
        <v>1175616.0</v>
      </c>
      <c r="L1043" s="10" t="s">
        <v>17</v>
      </c>
      <c r="M1043" s="15">
        <f t="shared" si="1"/>
        <v>0.7082183559</v>
      </c>
      <c r="N1043" s="16">
        <v>69.27</v>
      </c>
    </row>
    <row r="1044" ht="15.75" customHeight="1">
      <c r="A1044" s="9" t="s">
        <v>1091</v>
      </c>
      <c r="B1044" s="10" t="s">
        <v>19</v>
      </c>
      <c r="C1044" s="11">
        <v>46189.0</v>
      </c>
      <c r="D1044" s="11">
        <v>46194.0</v>
      </c>
      <c r="E1044" s="10" t="s">
        <v>16</v>
      </c>
      <c r="F1044" s="12">
        <v>36650.0</v>
      </c>
      <c r="G1044" s="13">
        <v>7241.0</v>
      </c>
      <c r="H1044" s="13">
        <v>1067.0</v>
      </c>
      <c r="I1044" s="14">
        <v>150103.31</v>
      </c>
      <c r="J1044" s="13">
        <v>38067.0</v>
      </c>
      <c r="K1044" s="13">
        <v>1027809.0</v>
      </c>
      <c r="L1044" s="10" t="s">
        <v>17</v>
      </c>
      <c r="M1044" s="15">
        <f t="shared" si="1"/>
        <v>3.095588267</v>
      </c>
      <c r="N1044" s="16">
        <v>34.35</v>
      </c>
    </row>
    <row r="1045" ht="15.75" customHeight="1">
      <c r="A1045" s="9" t="s">
        <v>1092</v>
      </c>
      <c r="B1045" s="10" t="s">
        <v>47</v>
      </c>
      <c r="C1045" s="11">
        <v>45973.0</v>
      </c>
      <c r="D1045" s="11">
        <v>46011.0</v>
      </c>
      <c r="E1045" s="10" t="s">
        <v>26</v>
      </c>
      <c r="F1045" s="12">
        <v>19268.0</v>
      </c>
      <c r="G1045" s="13">
        <v>4413.0</v>
      </c>
      <c r="H1045" s="13">
        <v>205.0</v>
      </c>
      <c r="I1045" s="14">
        <v>13111.39</v>
      </c>
      <c r="J1045" s="13">
        <v>45527.0</v>
      </c>
      <c r="K1045" s="13">
        <v>500797.0</v>
      </c>
      <c r="L1045" s="10" t="s">
        <v>17</v>
      </c>
      <c r="M1045" s="15">
        <f t="shared" si="1"/>
        <v>-0.3195251194</v>
      </c>
      <c r="N1045" s="16">
        <v>93.99</v>
      </c>
    </row>
    <row r="1046" ht="15.75" customHeight="1">
      <c r="A1046" s="9" t="s">
        <v>1093</v>
      </c>
      <c r="B1046" s="10" t="s">
        <v>62</v>
      </c>
      <c r="C1046" s="11">
        <v>46009.0</v>
      </c>
      <c r="D1046" s="11">
        <v>46059.0</v>
      </c>
      <c r="E1046" s="10" t="s">
        <v>26</v>
      </c>
      <c r="F1046" s="12">
        <v>5390.0</v>
      </c>
      <c r="G1046" s="13">
        <v>963.0</v>
      </c>
      <c r="H1046" s="13">
        <v>50.0</v>
      </c>
      <c r="I1046" s="14">
        <v>10841.87</v>
      </c>
      <c r="J1046" s="13">
        <v>6871.0</v>
      </c>
      <c r="K1046" s="13">
        <v>75581.0</v>
      </c>
      <c r="L1046" s="10" t="s">
        <v>17</v>
      </c>
      <c r="M1046" s="15">
        <f t="shared" si="1"/>
        <v>1.011478664</v>
      </c>
      <c r="N1046" s="16">
        <v>107.8</v>
      </c>
    </row>
    <row r="1047" ht="15.75" customHeight="1">
      <c r="A1047" s="9" t="s">
        <v>1094</v>
      </c>
      <c r="B1047" s="10" t="s">
        <v>30</v>
      </c>
      <c r="C1047" s="11">
        <v>45842.0</v>
      </c>
      <c r="D1047" s="11">
        <v>45870.0</v>
      </c>
      <c r="E1047" s="10" t="s">
        <v>35</v>
      </c>
      <c r="F1047" s="12">
        <v>3978.0</v>
      </c>
      <c r="G1047" s="13">
        <v>293.0</v>
      </c>
      <c r="H1047" s="13">
        <v>71.0</v>
      </c>
      <c r="I1047" s="14">
        <v>12270.35</v>
      </c>
      <c r="J1047" s="13">
        <v>8890.0</v>
      </c>
      <c r="K1047" s="13">
        <v>106680.0</v>
      </c>
      <c r="L1047" s="10" t="s">
        <v>17</v>
      </c>
      <c r="M1047" s="15">
        <f t="shared" si="1"/>
        <v>2.084552539</v>
      </c>
      <c r="N1047" s="16">
        <v>56.03</v>
      </c>
    </row>
    <row r="1048" ht="15.75" customHeight="1">
      <c r="A1048" s="9" t="s">
        <v>1095</v>
      </c>
      <c r="B1048" s="10" t="s">
        <v>75</v>
      </c>
      <c r="C1048" s="11">
        <v>45954.0</v>
      </c>
      <c r="D1048" s="11">
        <v>45969.0</v>
      </c>
      <c r="E1048" s="10" t="s">
        <v>35</v>
      </c>
      <c r="F1048" s="12">
        <v>3571.0</v>
      </c>
      <c r="G1048" s="13">
        <v>212.0</v>
      </c>
      <c r="H1048" s="13">
        <v>36.0</v>
      </c>
      <c r="I1048" s="14">
        <v>4764.82</v>
      </c>
      <c r="J1048" s="13">
        <v>11664.0</v>
      </c>
      <c r="K1048" s="13">
        <v>128304.0</v>
      </c>
      <c r="L1048" s="10" t="s">
        <v>17</v>
      </c>
      <c r="M1048" s="15">
        <f t="shared" si="1"/>
        <v>0.3343097172</v>
      </c>
      <c r="N1048" s="16">
        <v>99.19</v>
      </c>
    </row>
    <row r="1049" ht="15.75" customHeight="1">
      <c r="A1049" s="9" t="s">
        <v>1096</v>
      </c>
      <c r="B1049" s="10" t="s">
        <v>38</v>
      </c>
      <c r="C1049" s="11">
        <v>45996.0</v>
      </c>
      <c r="D1049" s="11">
        <v>46055.0</v>
      </c>
      <c r="E1049" s="10" t="s">
        <v>26</v>
      </c>
      <c r="F1049" s="12">
        <v>18339.0</v>
      </c>
      <c r="G1049" s="13">
        <v>1204.0</v>
      </c>
      <c r="H1049" s="13">
        <v>92.0</v>
      </c>
      <c r="I1049" s="14">
        <v>18378.47</v>
      </c>
      <c r="J1049" s="13">
        <v>26545.0</v>
      </c>
      <c r="K1049" s="13">
        <v>663625.0</v>
      </c>
      <c r="L1049" s="10" t="s">
        <v>17</v>
      </c>
      <c r="M1049" s="15">
        <f t="shared" si="1"/>
        <v>0.002152243852</v>
      </c>
      <c r="N1049" s="16">
        <v>199.34</v>
      </c>
    </row>
    <row r="1050" ht="15.75" customHeight="1">
      <c r="A1050" s="9" t="s">
        <v>1097</v>
      </c>
      <c r="B1050" s="10" t="s">
        <v>19</v>
      </c>
      <c r="C1050" s="11">
        <v>46112.0</v>
      </c>
      <c r="D1050" s="11">
        <v>46153.0</v>
      </c>
      <c r="E1050" s="10" t="s">
        <v>35</v>
      </c>
      <c r="F1050" s="12">
        <v>21411.0</v>
      </c>
      <c r="G1050" s="13">
        <v>128.0</v>
      </c>
      <c r="H1050" s="13">
        <v>31.0</v>
      </c>
      <c r="I1050" s="14">
        <v>6359.11</v>
      </c>
      <c r="J1050" s="13">
        <v>3986.0</v>
      </c>
      <c r="K1050" s="13">
        <v>67762.0</v>
      </c>
      <c r="L1050" s="10" t="s">
        <v>17</v>
      </c>
      <c r="M1050" s="15">
        <f t="shared" si="1"/>
        <v>-0.7029979917</v>
      </c>
      <c r="N1050" s="16">
        <v>45.52</v>
      </c>
    </row>
    <row r="1051" ht="15.75" customHeight="1">
      <c r="A1051" s="9" t="s">
        <v>1098</v>
      </c>
      <c r="B1051" s="10" t="s">
        <v>58</v>
      </c>
      <c r="C1051" s="11">
        <v>46094.0</v>
      </c>
      <c r="D1051" s="11">
        <v>46129.0</v>
      </c>
      <c r="E1051" s="10" t="s">
        <v>26</v>
      </c>
      <c r="F1051" s="12">
        <v>24189.0</v>
      </c>
      <c r="G1051" s="13">
        <v>1816.0</v>
      </c>
      <c r="H1051" s="13">
        <v>59.0</v>
      </c>
      <c r="I1051" s="14">
        <v>7774.62</v>
      </c>
      <c r="J1051" s="13">
        <v>65126.0</v>
      </c>
      <c r="K1051" s="13">
        <v>1432772.0</v>
      </c>
      <c r="L1051" s="10" t="s">
        <v>17</v>
      </c>
      <c r="M1051" s="15">
        <f t="shared" si="1"/>
        <v>-0.6785886147</v>
      </c>
      <c r="N1051" s="16">
        <v>409.98</v>
      </c>
    </row>
    <row r="1052" ht="15.75" customHeight="1">
      <c r="A1052" s="9" t="s">
        <v>1099</v>
      </c>
      <c r="B1052" s="10" t="s">
        <v>75</v>
      </c>
      <c r="C1052" s="11">
        <v>45858.0</v>
      </c>
      <c r="D1052" s="11">
        <v>45869.0</v>
      </c>
      <c r="E1052" s="10" t="s">
        <v>26</v>
      </c>
      <c r="F1052" s="12">
        <v>21011.0</v>
      </c>
      <c r="G1052" s="13">
        <v>2123.0</v>
      </c>
      <c r="H1052" s="13">
        <v>148.0</v>
      </c>
      <c r="I1052" s="14">
        <v>23673.48</v>
      </c>
      <c r="J1052" s="13">
        <v>42118.0</v>
      </c>
      <c r="K1052" s="13">
        <v>842360.0</v>
      </c>
      <c r="L1052" s="10" t="s">
        <v>17</v>
      </c>
      <c r="M1052" s="15">
        <f t="shared" si="1"/>
        <v>0.1267183856</v>
      </c>
      <c r="N1052" s="16">
        <v>141.97</v>
      </c>
    </row>
    <row r="1053" ht="15.75" customHeight="1">
      <c r="A1053" s="9" t="s">
        <v>1100</v>
      </c>
      <c r="B1053" s="10" t="s">
        <v>75</v>
      </c>
      <c r="C1053" s="11">
        <v>45969.0</v>
      </c>
      <c r="D1053" s="11">
        <v>46006.0</v>
      </c>
      <c r="E1053" s="10" t="s">
        <v>16</v>
      </c>
      <c r="F1053" s="12">
        <v>23216.0</v>
      </c>
      <c r="G1053" s="13">
        <v>5296.0</v>
      </c>
      <c r="H1053" s="13">
        <v>666.0</v>
      </c>
      <c r="I1053" s="14">
        <v>78169.08</v>
      </c>
      <c r="J1053" s="13">
        <v>17898.0</v>
      </c>
      <c r="K1053" s="13">
        <v>232674.0</v>
      </c>
      <c r="L1053" s="10" t="s">
        <v>17</v>
      </c>
      <c r="M1053" s="15">
        <f t="shared" si="1"/>
        <v>2.367034804</v>
      </c>
      <c r="N1053" s="16">
        <v>34.86</v>
      </c>
    </row>
    <row r="1054" ht="15.75" customHeight="1">
      <c r="A1054" s="9" t="s">
        <v>1101</v>
      </c>
      <c r="B1054" s="10" t="s">
        <v>52</v>
      </c>
      <c r="C1054" s="11">
        <v>46171.0</v>
      </c>
      <c r="D1054" s="11">
        <v>46179.0</v>
      </c>
      <c r="E1054" s="10" t="s">
        <v>16</v>
      </c>
      <c r="F1054" s="12">
        <v>48098.0</v>
      </c>
      <c r="G1054" s="13">
        <v>2562.0</v>
      </c>
      <c r="H1054" s="13">
        <v>290.0</v>
      </c>
      <c r="I1054" s="14">
        <v>43384.36</v>
      </c>
      <c r="J1054" s="13">
        <v>38766.0</v>
      </c>
      <c r="K1054" s="13">
        <v>387660.0</v>
      </c>
      <c r="L1054" s="10" t="s">
        <v>17</v>
      </c>
      <c r="M1054" s="15">
        <f t="shared" si="1"/>
        <v>-0.09800074847</v>
      </c>
      <c r="N1054" s="16">
        <v>165.86</v>
      </c>
    </row>
    <row r="1055" ht="15.75" customHeight="1">
      <c r="A1055" s="9" t="s">
        <v>1102</v>
      </c>
      <c r="B1055" s="10" t="s">
        <v>25</v>
      </c>
      <c r="C1055" s="11">
        <v>45985.0</v>
      </c>
      <c r="D1055" s="11">
        <v>46045.0</v>
      </c>
      <c r="E1055" s="10" t="s">
        <v>16</v>
      </c>
      <c r="F1055" s="12">
        <v>13480.0</v>
      </c>
      <c r="G1055" s="13">
        <v>774.0</v>
      </c>
      <c r="H1055" s="13">
        <v>61.0</v>
      </c>
      <c r="I1055" s="14">
        <v>9616.12</v>
      </c>
      <c r="J1055" s="13">
        <v>10671.0</v>
      </c>
      <c r="K1055" s="13">
        <v>320130.0</v>
      </c>
      <c r="L1055" s="10" t="s">
        <v>17</v>
      </c>
      <c r="M1055" s="15">
        <f t="shared" si="1"/>
        <v>-0.2866379822</v>
      </c>
      <c r="N1055" s="16">
        <v>220.98</v>
      </c>
    </row>
    <row r="1056" ht="15.75" customHeight="1">
      <c r="A1056" s="9" t="s">
        <v>1103</v>
      </c>
      <c r="B1056" s="10" t="s">
        <v>25</v>
      </c>
      <c r="C1056" s="11">
        <v>45903.0</v>
      </c>
      <c r="D1056" s="11">
        <v>45940.0</v>
      </c>
      <c r="E1056" s="10" t="s">
        <v>16</v>
      </c>
      <c r="F1056" s="12">
        <v>33546.0</v>
      </c>
      <c r="G1056" s="13">
        <v>4266.0</v>
      </c>
      <c r="H1056" s="13">
        <v>373.0</v>
      </c>
      <c r="I1056" s="14">
        <v>34431.97</v>
      </c>
      <c r="J1056" s="13">
        <v>29505.0</v>
      </c>
      <c r="K1056" s="13">
        <v>236040.0</v>
      </c>
      <c r="L1056" s="10" t="s">
        <v>17</v>
      </c>
      <c r="M1056" s="15">
        <f t="shared" si="1"/>
        <v>0.02641060037</v>
      </c>
      <c r="N1056" s="16">
        <v>89.94</v>
      </c>
    </row>
    <row r="1057" ht="15.75" customHeight="1">
      <c r="A1057" s="9" t="s">
        <v>1104</v>
      </c>
      <c r="B1057" s="10" t="s">
        <v>25</v>
      </c>
      <c r="C1057" s="11">
        <v>45935.0</v>
      </c>
      <c r="D1057" s="11">
        <v>45964.0</v>
      </c>
      <c r="E1057" s="10" t="s">
        <v>26</v>
      </c>
      <c r="F1057" s="12">
        <v>14857.0</v>
      </c>
      <c r="G1057" s="13">
        <v>932.0</v>
      </c>
      <c r="H1057" s="13">
        <v>43.0</v>
      </c>
      <c r="I1057" s="14">
        <v>36652.4</v>
      </c>
      <c r="J1057" s="13">
        <v>39738.0</v>
      </c>
      <c r="K1057" s="13">
        <v>635808.0</v>
      </c>
      <c r="L1057" s="10" t="s">
        <v>17</v>
      </c>
      <c r="M1057" s="15">
        <f t="shared" si="1"/>
        <v>1.467012183</v>
      </c>
      <c r="N1057" s="16">
        <v>345.51</v>
      </c>
    </row>
    <row r="1058" ht="15.75" customHeight="1">
      <c r="A1058" s="9" t="s">
        <v>1105</v>
      </c>
      <c r="B1058" s="10" t="s">
        <v>47</v>
      </c>
      <c r="C1058" s="11">
        <v>46196.0</v>
      </c>
      <c r="D1058" s="11">
        <v>46213.0</v>
      </c>
      <c r="E1058" s="10" t="s">
        <v>26</v>
      </c>
      <c r="F1058" s="12">
        <v>11303.0</v>
      </c>
      <c r="G1058" s="13">
        <v>2191.0</v>
      </c>
      <c r="H1058" s="13">
        <v>124.0</v>
      </c>
      <c r="I1058" s="14">
        <v>28839.84</v>
      </c>
      <c r="J1058" s="13">
        <v>18040.0</v>
      </c>
      <c r="K1058" s="13">
        <v>487080.0</v>
      </c>
      <c r="L1058" s="10" t="s">
        <v>17</v>
      </c>
      <c r="M1058" s="15">
        <f t="shared" si="1"/>
        <v>1.551520835</v>
      </c>
      <c r="N1058" s="16">
        <v>91.15</v>
      </c>
    </row>
    <row r="1059" ht="15.75" customHeight="1">
      <c r="A1059" s="9" t="s">
        <v>1106</v>
      </c>
      <c r="B1059" s="10" t="s">
        <v>38</v>
      </c>
      <c r="C1059" s="11">
        <v>45915.0</v>
      </c>
      <c r="D1059" s="11">
        <v>45958.0</v>
      </c>
      <c r="E1059" s="10" t="s">
        <v>26</v>
      </c>
      <c r="F1059" s="12">
        <v>12475.0</v>
      </c>
      <c r="G1059" s="13">
        <v>1486.0</v>
      </c>
      <c r="H1059" s="13">
        <v>54.0</v>
      </c>
      <c r="I1059" s="14">
        <v>2534.24</v>
      </c>
      <c r="J1059" s="13">
        <v>23009.0</v>
      </c>
      <c r="K1059" s="13">
        <v>460180.0</v>
      </c>
      <c r="L1059" s="10" t="s">
        <v>17</v>
      </c>
      <c r="M1059" s="15">
        <f t="shared" si="1"/>
        <v>-0.796854509</v>
      </c>
      <c r="N1059" s="16">
        <v>231.02</v>
      </c>
    </row>
    <row r="1060" ht="15.75" customHeight="1">
      <c r="A1060" s="9" t="s">
        <v>1107</v>
      </c>
      <c r="B1060" s="10" t="s">
        <v>25</v>
      </c>
      <c r="C1060" s="11">
        <v>45895.0</v>
      </c>
      <c r="D1060" s="11">
        <v>45933.0</v>
      </c>
      <c r="E1060" s="10" t="s">
        <v>35</v>
      </c>
      <c r="F1060" s="12">
        <v>3943.0</v>
      </c>
      <c r="G1060" s="13">
        <v>391.0</v>
      </c>
      <c r="H1060" s="13">
        <v>58.0</v>
      </c>
      <c r="I1060" s="14">
        <v>3490.92</v>
      </c>
      <c r="J1060" s="13">
        <v>9545.0</v>
      </c>
      <c r="K1060" s="13">
        <v>267260.0</v>
      </c>
      <c r="L1060" s="10" t="s">
        <v>17</v>
      </c>
      <c r="M1060" s="15">
        <f t="shared" si="1"/>
        <v>-0.1146538169</v>
      </c>
      <c r="N1060" s="16">
        <v>67.98</v>
      </c>
    </row>
    <row r="1061" ht="15.75" customHeight="1">
      <c r="A1061" s="9" t="s">
        <v>1108</v>
      </c>
      <c r="B1061" s="10" t="s">
        <v>30</v>
      </c>
      <c r="C1061" s="11">
        <v>46063.0</v>
      </c>
      <c r="D1061" s="11">
        <v>46090.0</v>
      </c>
      <c r="E1061" s="10" t="s">
        <v>16</v>
      </c>
      <c r="F1061" s="12">
        <v>24216.0</v>
      </c>
      <c r="G1061" s="13">
        <v>5130.0</v>
      </c>
      <c r="H1061" s="13">
        <v>797.0</v>
      </c>
      <c r="I1061" s="14">
        <v>74442.78</v>
      </c>
      <c r="J1061" s="13">
        <v>30321.0</v>
      </c>
      <c r="K1061" s="13">
        <v>545778.0</v>
      </c>
      <c r="L1061" s="10" t="s">
        <v>17</v>
      </c>
      <c r="M1061" s="15">
        <f t="shared" si="1"/>
        <v>2.074115461</v>
      </c>
      <c r="N1061" s="16">
        <v>30.38</v>
      </c>
    </row>
    <row r="1062" ht="15.75" customHeight="1">
      <c r="A1062" s="9" t="s">
        <v>1109</v>
      </c>
      <c r="B1062" s="10" t="s">
        <v>75</v>
      </c>
      <c r="C1062" s="11">
        <v>46188.0</v>
      </c>
      <c r="D1062" s="11">
        <v>46207.0</v>
      </c>
      <c r="E1062" s="10" t="s">
        <v>35</v>
      </c>
      <c r="F1062" s="12">
        <v>4071.0</v>
      </c>
      <c r="G1062" s="13">
        <v>219.0</v>
      </c>
      <c r="H1062" s="13">
        <v>42.0</v>
      </c>
      <c r="I1062" s="14">
        <v>3128.19</v>
      </c>
      <c r="J1062" s="13">
        <v>19094.0</v>
      </c>
      <c r="K1062" s="13">
        <v>362786.0</v>
      </c>
      <c r="L1062" s="10" t="s">
        <v>17</v>
      </c>
      <c r="M1062" s="15">
        <f t="shared" si="1"/>
        <v>-0.2315917465</v>
      </c>
      <c r="N1062" s="16">
        <v>96.93</v>
      </c>
    </row>
    <row r="1063" ht="15.75" customHeight="1">
      <c r="A1063" s="9" t="s">
        <v>1110</v>
      </c>
      <c r="B1063" s="10" t="s">
        <v>52</v>
      </c>
      <c r="C1063" s="11">
        <v>46064.0</v>
      </c>
      <c r="D1063" s="11">
        <v>46098.0</v>
      </c>
      <c r="E1063" s="10" t="s">
        <v>26</v>
      </c>
      <c r="F1063" s="12">
        <v>23819.0</v>
      </c>
      <c r="G1063" s="13">
        <v>3350.0</v>
      </c>
      <c r="H1063" s="13">
        <v>154.0</v>
      </c>
      <c r="I1063" s="14">
        <v>28162.53</v>
      </c>
      <c r="J1063" s="13">
        <v>66746.0</v>
      </c>
      <c r="K1063" s="13">
        <v>1001190.0</v>
      </c>
      <c r="L1063" s="10" t="s">
        <v>17</v>
      </c>
      <c r="M1063" s="15">
        <f t="shared" si="1"/>
        <v>0.1823556824</v>
      </c>
      <c r="N1063" s="16">
        <v>154.67</v>
      </c>
    </row>
    <row r="1064" ht="15.75" customHeight="1">
      <c r="A1064" s="9" t="s">
        <v>1111</v>
      </c>
      <c r="B1064" s="10" t="s">
        <v>15</v>
      </c>
      <c r="C1064" s="11">
        <v>46055.0</v>
      </c>
      <c r="D1064" s="11">
        <v>46077.0</v>
      </c>
      <c r="E1064" s="10" t="s">
        <v>16</v>
      </c>
      <c r="F1064" s="12">
        <v>15445.0</v>
      </c>
      <c r="G1064" s="13">
        <v>3187.0</v>
      </c>
      <c r="H1064" s="13">
        <v>296.0</v>
      </c>
      <c r="I1064" s="14">
        <v>31602.56</v>
      </c>
      <c r="J1064" s="13">
        <v>16187.0</v>
      </c>
      <c r="K1064" s="13">
        <v>161870.0</v>
      </c>
      <c r="L1064" s="10" t="s">
        <v>17</v>
      </c>
      <c r="M1064" s="15">
        <f t="shared" si="1"/>
        <v>1.046135319</v>
      </c>
      <c r="N1064" s="16">
        <v>52.18</v>
      </c>
    </row>
    <row r="1065" ht="15.75" customHeight="1">
      <c r="A1065" s="9" t="s">
        <v>1112</v>
      </c>
      <c r="B1065" s="10" t="s">
        <v>25</v>
      </c>
      <c r="C1065" s="11">
        <v>45856.0</v>
      </c>
      <c r="D1065" s="11">
        <v>45862.0</v>
      </c>
      <c r="E1065" s="10" t="s">
        <v>26</v>
      </c>
      <c r="F1065" s="12">
        <v>8551.0</v>
      </c>
      <c r="G1065" s="13">
        <v>710.0</v>
      </c>
      <c r="H1065" s="13">
        <v>22.0</v>
      </c>
      <c r="I1065" s="14">
        <v>4967.39</v>
      </c>
      <c r="J1065" s="13">
        <v>20804.0</v>
      </c>
      <c r="K1065" s="13">
        <v>249648.0</v>
      </c>
      <c r="L1065" s="10" t="s">
        <v>17</v>
      </c>
      <c r="M1065" s="15">
        <f t="shared" si="1"/>
        <v>-0.4190866565</v>
      </c>
      <c r="N1065" s="16">
        <v>388.68</v>
      </c>
    </row>
    <row r="1066" ht="15.75" customHeight="1">
      <c r="A1066" s="9" t="s">
        <v>1113</v>
      </c>
      <c r="B1066" s="10" t="s">
        <v>28</v>
      </c>
      <c r="C1066" s="11">
        <v>46048.0</v>
      </c>
      <c r="D1066" s="11">
        <v>46081.0</v>
      </c>
      <c r="E1066" s="10" t="s">
        <v>26</v>
      </c>
      <c r="F1066" s="12">
        <v>3701.0</v>
      </c>
      <c r="G1066" s="13">
        <v>405.0</v>
      </c>
      <c r="H1066" s="13">
        <v>10.0</v>
      </c>
      <c r="I1066" s="14">
        <v>1339.82</v>
      </c>
      <c r="J1066" s="13">
        <v>10720.0</v>
      </c>
      <c r="K1066" s="13">
        <v>257280.0</v>
      </c>
      <c r="L1066" s="10" t="s">
        <v>17</v>
      </c>
      <c r="M1066" s="15">
        <f t="shared" si="1"/>
        <v>-0.6379843286</v>
      </c>
      <c r="N1066" s="16">
        <v>370.1</v>
      </c>
    </row>
    <row r="1067" ht="15.75" customHeight="1">
      <c r="A1067" s="9" t="s">
        <v>1114</v>
      </c>
      <c r="B1067" s="10" t="s">
        <v>25</v>
      </c>
      <c r="C1067" s="11">
        <v>46133.0</v>
      </c>
      <c r="D1067" s="11">
        <v>46142.0</v>
      </c>
      <c r="E1067" s="10" t="s">
        <v>26</v>
      </c>
      <c r="F1067" s="12">
        <v>8805.0</v>
      </c>
      <c r="G1067" s="13">
        <v>1275.0</v>
      </c>
      <c r="H1067" s="13">
        <v>42.0</v>
      </c>
      <c r="I1067" s="14">
        <v>5381.6</v>
      </c>
      <c r="J1067" s="13">
        <v>21763.0</v>
      </c>
      <c r="K1067" s="13">
        <v>457023.0</v>
      </c>
      <c r="L1067" s="10" t="s">
        <v>17</v>
      </c>
      <c r="M1067" s="15">
        <f t="shared" si="1"/>
        <v>-0.3888018171</v>
      </c>
      <c r="N1067" s="16">
        <v>209.64</v>
      </c>
    </row>
    <row r="1068" ht="15.75" customHeight="1">
      <c r="A1068" s="9" t="s">
        <v>1115</v>
      </c>
      <c r="B1068" s="10" t="s">
        <v>75</v>
      </c>
      <c r="C1068" s="11">
        <v>46081.0</v>
      </c>
      <c r="D1068" s="11">
        <v>46124.0</v>
      </c>
      <c r="E1068" s="10" t="s">
        <v>16</v>
      </c>
      <c r="F1068" s="12">
        <v>22892.0</v>
      </c>
      <c r="G1068" s="13">
        <v>1613.0</v>
      </c>
      <c r="H1068" s="13">
        <v>138.0</v>
      </c>
      <c r="I1068" s="14">
        <v>15667.07</v>
      </c>
      <c r="J1068" s="13">
        <v>21337.0</v>
      </c>
      <c r="K1068" s="13">
        <v>640110.0</v>
      </c>
      <c r="L1068" s="10" t="s">
        <v>17</v>
      </c>
      <c r="M1068" s="15">
        <f t="shared" si="1"/>
        <v>-0.3156093832</v>
      </c>
      <c r="N1068" s="16">
        <v>165.88</v>
      </c>
    </row>
    <row r="1069" ht="15.75" customHeight="1">
      <c r="A1069" s="9" t="s">
        <v>1116</v>
      </c>
      <c r="B1069" s="10" t="s">
        <v>15</v>
      </c>
      <c r="C1069" s="11">
        <v>46127.0</v>
      </c>
      <c r="D1069" s="11">
        <v>46184.0</v>
      </c>
      <c r="E1069" s="10" t="s">
        <v>35</v>
      </c>
      <c r="F1069" s="12">
        <v>41343.0</v>
      </c>
      <c r="G1069" s="13">
        <v>131.0</v>
      </c>
      <c r="H1069" s="13">
        <v>20.0</v>
      </c>
      <c r="I1069" s="14">
        <v>1613.98</v>
      </c>
      <c r="J1069" s="13">
        <v>3217.0</v>
      </c>
      <c r="K1069" s="13">
        <v>54689.0</v>
      </c>
      <c r="L1069" s="10" t="s">
        <v>17</v>
      </c>
      <c r="M1069" s="15">
        <f t="shared" si="1"/>
        <v>-0.9609612268</v>
      </c>
      <c r="N1069" s="16">
        <v>67.15</v>
      </c>
    </row>
    <row r="1070" ht="15.75" customHeight="1">
      <c r="A1070" s="9" t="s">
        <v>1117</v>
      </c>
      <c r="B1070" s="10" t="s">
        <v>25</v>
      </c>
      <c r="C1070" s="11">
        <v>46136.0</v>
      </c>
      <c r="D1070" s="11">
        <v>46183.0</v>
      </c>
      <c r="E1070" s="10" t="s">
        <v>26</v>
      </c>
      <c r="F1070" s="12">
        <v>14652.0</v>
      </c>
      <c r="G1070" s="13">
        <v>891.0</v>
      </c>
      <c r="H1070" s="13">
        <v>26.0</v>
      </c>
      <c r="I1070" s="14">
        <v>6169.5</v>
      </c>
      <c r="J1070" s="13">
        <v>17719.0</v>
      </c>
      <c r="K1070" s="13">
        <v>442975.0</v>
      </c>
      <c r="L1070" s="10" t="s">
        <v>17</v>
      </c>
      <c r="M1070" s="15">
        <f t="shared" si="1"/>
        <v>-0.5789312039</v>
      </c>
      <c r="N1070" s="16">
        <v>563.54</v>
      </c>
    </row>
    <row r="1071" ht="15.75" customHeight="1">
      <c r="A1071" s="9" t="s">
        <v>1118</v>
      </c>
      <c r="B1071" s="10" t="s">
        <v>58</v>
      </c>
      <c r="C1071" s="11">
        <v>46134.0</v>
      </c>
      <c r="D1071" s="11">
        <v>46172.0</v>
      </c>
      <c r="E1071" s="10" t="s">
        <v>35</v>
      </c>
      <c r="F1071" s="12">
        <v>3577.0</v>
      </c>
      <c r="G1071" s="13">
        <v>494.0</v>
      </c>
      <c r="H1071" s="13">
        <v>123.0</v>
      </c>
      <c r="I1071" s="14">
        <v>27057.63</v>
      </c>
      <c r="J1071" s="13">
        <v>17540.0</v>
      </c>
      <c r="K1071" s="13">
        <v>403420.0</v>
      </c>
      <c r="L1071" s="10" t="s">
        <v>17</v>
      </c>
      <c r="M1071" s="15">
        <f t="shared" si="1"/>
        <v>6.564336036</v>
      </c>
      <c r="N1071" s="16">
        <v>29.08</v>
      </c>
    </row>
    <row r="1072" ht="15.75" customHeight="1">
      <c r="A1072" s="9" t="s">
        <v>1119</v>
      </c>
      <c r="B1072" s="10" t="s">
        <v>52</v>
      </c>
      <c r="C1072" s="11">
        <v>45890.0</v>
      </c>
      <c r="D1072" s="11">
        <v>45918.0</v>
      </c>
      <c r="E1072" s="10" t="s">
        <v>16</v>
      </c>
      <c r="F1072" s="12">
        <v>54889.0</v>
      </c>
      <c r="G1072" s="13">
        <v>4762.0</v>
      </c>
      <c r="H1072" s="13">
        <v>571.0</v>
      </c>
      <c r="I1072" s="14">
        <v>93171.64</v>
      </c>
      <c r="J1072" s="13">
        <v>68952.0</v>
      </c>
      <c r="K1072" s="13">
        <v>758472.0</v>
      </c>
      <c r="L1072" s="10" t="s">
        <v>17</v>
      </c>
      <c r="M1072" s="15">
        <f t="shared" si="1"/>
        <v>0.6974555922</v>
      </c>
      <c r="N1072" s="16">
        <v>96.13</v>
      </c>
    </row>
    <row r="1073" ht="15.75" customHeight="1">
      <c r="A1073" s="9" t="s">
        <v>1120</v>
      </c>
      <c r="B1073" s="10" t="s">
        <v>56</v>
      </c>
      <c r="C1073" s="11">
        <v>46102.0</v>
      </c>
      <c r="D1073" s="11">
        <v>46146.0</v>
      </c>
      <c r="E1073" s="10" t="s">
        <v>26</v>
      </c>
      <c r="F1073" s="12">
        <v>28946.0</v>
      </c>
      <c r="G1073" s="13">
        <v>1129.0</v>
      </c>
      <c r="H1073" s="13">
        <v>69.0</v>
      </c>
      <c r="I1073" s="14">
        <v>8435.55</v>
      </c>
      <c r="J1073" s="13">
        <v>25340.0</v>
      </c>
      <c r="K1073" s="13">
        <v>202720.0</v>
      </c>
      <c r="L1073" s="10" t="s">
        <v>17</v>
      </c>
      <c r="M1073" s="15">
        <f t="shared" si="1"/>
        <v>-0.7085763145</v>
      </c>
      <c r="N1073" s="16">
        <v>129.65</v>
      </c>
    </row>
    <row r="1074" ht="15.75" customHeight="1">
      <c r="A1074" s="9" t="s">
        <v>1121</v>
      </c>
      <c r="B1074" s="10" t="s">
        <v>25</v>
      </c>
      <c r="C1074" s="11">
        <v>46065.0</v>
      </c>
      <c r="D1074" s="11">
        <v>46093.0</v>
      </c>
      <c r="E1074" s="10" t="s">
        <v>35</v>
      </c>
      <c r="F1074" s="12">
        <v>2306.0</v>
      </c>
      <c r="G1074" s="13">
        <v>365.0</v>
      </c>
      <c r="H1074" s="13">
        <v>60.0</v>
      </c>
      <c r="I1074" s="14">
        <v>9682.25</v>
      </c>
      <c r="J1074" s="13">
        <v>9325.0</v>
      </c>
      <c r="K1074" s="13">
        <v>130550.0</v>
      </c>
      <c r="L1074" s="10" t="s">
        <v>17</v>
      </c>
      <c r="M1074" s="15">
        <f t="shared" si="1"/>
        <v>3.198720729</v>
      </c>
      <c r="N1074" s="16">
        <v>38.43</v>
      </c>
    </row>
    <row r="1075" ht="15.75" customHeight="1">
      <c r="A1075" s="9" t="s">
        <v>1122</v>
      </c>
      <c r="B1075" s="10" t="s">
        <v>38</v>
      </c>
      <c r="C1075" s="11">
        <v>46138.0</v>
      </c>
      <c r="D1075" s="11">
        <v>46196.0</v>
      </c>
      <c r="E1075" s="10" t="s">
        <v>35</v>
      </c>
      <c r="F1075" s="12">
        <v>3262.0</v>
      </c>
      <c r="G1075" s="13">
        <v>247.0</v>
      </c>
      <c r="H1075" s="13">
        <v>25.0</v>
      </c>
      <c r="I1075" s="14">
        <v>3530.12</v>
      </c>
      <c r="J1075" s="13">
        <v>11310.0</v>
      </c>
      <c r="K1075" s="13">
        <v>226200.0</v>
      </c>
      <c r="L1075" s="10" t="s">
        <v>17</v>
      </c>
      <c r="M1075" s="15">
        <f t="shared" si="1"/>
        <v>0.08219497241</v>
      </c>
      <c r="N1075" s="16">
        <v>130.48</v>
      </c>
    </row>
    <row r="1076" ht="15.75" customHeight="1">
      <c r="A1076" s="9" t="s">
        <v>1123</v>
      </c>
      <c r="B1076" s="10" t="s">
        <v>47</v>
      </c>
      <c r="C1076" s="11">
        <v>46183.0</v>
      </c>
      <c r="D1076" s="11">
        <v>46187.0</v>
      </c>
      <c r="E1076" s="10" t="s">
        <v>16</v>
      </c>
      <c r="F1076" s="12">
        <v>33980.0</v>
      </c>
      <c r="G1076" s="13">
        <v>4533.0</v>
      </c>
      <c r="H1076" s="13">
        <v>628.0</v>
      </c>
      <c r="I1076" s="14">
        <v>47715.13</v>
      </c>
      <c r="J1076" s="13">
        <v>32340.0</v>
      </c>
      <c r="K1076" s="13">
        <v>840840.0</v>
      </c>
      <c r="L1076" s="10" t="s">
        <v>17</v>
      </c>
      <c r="M1076" s="15">
        <f t="shared" si="1"/>
        <v>0.4042121836</v>
      </c>
      <c r="N1076" s="16">
        <v>54.11</v>
      </c>
    </row>
    <row r="1077" ht="15.75" customHeight="1">
      <c r="A1077" s="9" t="s">
        <v>1124</v>
      </c>
      <c r="B1077" s="10" t="s">
        <v>47</v>
      </c>
      <c r="C1077" s="11">
        <v>46138.0</v>
      </c>
      <c r="D1077" s="11">
        <v>46143.0</v>
      </c>
      <c r="E1077" s="10" t="s">
        <v>16</v>
      </c>
      <c r="F1077" s="12">
        <v>56900.0</v>
      </c>
      <c r="G1077" s="13">
        <v>7383.0</v>
      </c>
      <c r="H1077" s="13">
        <v>1093.0</v>
      </c>
      <c r="I1077" s="14">
        <v>216552.13</v>
      </c>
      <c r="J1077" s="13">
        <v>81907.0</v>
      </c>
      <c r="K1077" s="13">
        <v>2375303.0</v>
      </c>
      <c r="L1077" s="10" t="s">
        <v>17</v>
      </c>
      <c r="M1077" s="15">
        <f t="shared" si="1"/>
        <v>2.805837083</v>
      </c>
      <c r="N1077" s="16">
        <v>52.06</v>
      </c>
    </row>
    <row r="1078" ht="15.75" customHeight="1">
      <c r="A1078" s="9" t="s">
        <v>1125</v>
      </c>
      <c r="B1078" s="10" t="s">
        <v>47</v>
      </c>
      <c r="C1078" s="11">
        <v>45851.0</v>
      </c>
      <c r="D1078" s="11">
        <v>45857.0</v>
      </c>
      <c r="E1078" s="10" t="s">
        <v>26</v>
      </c>
      <c r="F1078" s="12">
        <v>12708.0</v>
      </c>
      <c r="G1078" s="13">
        <v>694.0</v>
      </c>
      <c r="H1078" s="13">
        <v>41.0</v>
      </c>
      <c r="I1078" s="14">
        <v>2230.54</v>
      </c>
      <c r="J1078" s="13">
        <v>14887.0</v>
      </c>
      <c r="K1078" s="13">
        <v>372175.0</v>
      </c>
      <c r="L1078" s="10" t="s">
        <v>17</v>
      </c>
      <c r="M1078" s="15">
        <f t="shared" si="1"/>
        <v>-0.8244774945</v>
      </c>
      <c r="N1078" s="16">
        <v>309.95</v>
      </c>
    </row>
    <row r="1079" ht="15.75" customHeight="1">
      <c r="A1079" s="9" t="s">
        <v>1126</v>
      </c>
      <c r="B1079" s="10" t="s">
        <v>56</v>
      </c>
      <c r="C1079" s="11">
        <v>45965.0</v>
      </c>
      <c r="D1079" s="11">
        <v>45986.0</v>
      </c>
      <c r="E1079" s="10" t="s">
        <v>16</v>
      </c>
      <c r="F1079" s="12">
        <v>16462.0</v>
      </c>
      <c r="G1079" s="13">
        <v>2283.0</v>
      </c>
      <c r="H1079" s="13">
        <v>150.0</v>
      </c>
      <c r="I1079" s="14">
        <v>21527.87</v>
      </c>
      <c r="J1079" s="13">
        <v>12233.0</v>
      </c>
      <c r="K1079" s="13">
        <v>171262.0</v>
      </c>
      <c r="L1079" s="10" t="s">
        <v>17</v>
      </c>
      <c r="M1079" s="15">
        <f t="shared" si="1"/>
        <v>0.3077311384</v>
      </c>
      <c r="N1079" s="16">
        <v>109.75</v>
      </c>
    </row>
    <row r="1080" ht="15.75" customHeight="1">
      <c r="A1080" s="9" t="s">
        <v>1127</v>
      </c>
      <c r="B1080" s="10" t="s">
        <v>52</v>
      </c>
      <c r="C1080" s="11">
        <v>46182.0</v>
      </c>
      <c r="D1080" s="11">
        <v>46191.0</v>
      </c>
      <c r="E1080" s="10" t="s">
        <v>16</v>
      </c>
      <c r="F1080" s="12">
        <v>38828.0</v>
      </c>
      <c r="G1080" s="13">
        <v>6939.0</v>
      </c>
      <c r="H1080" s="13">
        <v>1102.0</v>
      </c>
      <c r="I1080" s="14">
        <v>135393.43</v>
      </c>
      <c r="J1080" s="13">
        <v>27187.0</v>
      </c>
      <c r="K1080" s="13">
        <v>625301.0</v>
      </c>
      <c r="L1080" s="10" t="s">
        <v>17</v>
      </c>
      <c r="M1080" s="15">
        <f t="shared" si="1"/>
        <v>2.487004996</v>
      </c>
      <c r="N1080" s="16">
        <v>35.23</v>
      </c>
    </row>
    <row r="1081" ht="15.75" customHeight="1">
      <c r="A1081" s="9" t="s">
        <v>1128</v>
      </c>
      <c r="B1081" s="10" t="s">
        <v>30</v>
      </c>
      <c r="C1081" s="11">
        <v>45997.0</v>
      </c>
      <c r="D1081" s="11">
        <v>46054.0</v>
      </c>
      <c r="E1081" s="10" t="s">
        <v>16</v>
      </c>
      <c r="F1081" s="12">
        <v>8063.0</v>
      </c>
      <c r="G1081" s="13">
        <v>705.0</v>
      </c>
      <c r="H1081" s="13">
        <v>126.0</v>
      </c>
      <c r="I1081" s="14">
        <v>22482.48</v>
      </c>
      <c r="J1081" s="13">
        <v>10035.0</v>
      </c>
      <c r="K1081" s="13">
        <v>110385.0</v>
      </c>
      <c r="L1081" s="10" t="s">
        <v>17</v>
      </c>
      <c r="M1081" s="15">
        <f t="shared" si="1"/>
        <v>1.78835173</v>
      </c>
      <c r="N1081" s="16">
        <v>63.99</v>
      </c>
    </row>
    <row r="1082" ht="15.75" customHeight="1">
      <c r="A1082" s="9" t="s">
        <v>1129</v>
      </c>
      <c r="B1082" s="10" t="s">
        <v>62</v>
      </c>
      <c r="C1082" s="11">
        <v>46087.0</v>
      </c>
      <c r="D1082" s="11">
        <v>46134.0</v>
      </c>
      <c r="E1082" s="10" t="s">
        <v>26</v>
      </c>
      <c r="F1082" s="12">
        <v>4960.0</v>
      </c>
      <c r="G1082" s="13">
        <v>254.0</v>
      </c>
      <c r="H1082" s="13">
        <v>16.0</v>
      </c>
      <c r="I1082" s="14">
        <v>62082.66</v>
      </c>
      <c r="J1082" s="13">
        <v>7463.0</v>
      </c>
      <c r="K1082" s="13">
        <v>111945.0</v>
      </c>
      <c r="L1082" s="10" t="s">
        <v>17</v>
      </c>
      <c r="M1082" s="15">
        <f t="shared" si="1"/>
        <v>11.51666532</v>
      </c>
      <c r="N1082" s="16">
        <v>310.0</v>
      </c>
    </row>
    <row r="1083" ht="15.75" customHeight="1">
      <c r="A1083" s="9" t="s">
        <v>1130</v>
      </c>
      <c r="B1083" s="10" t="s">
        <v>38</v>
      </c>
      <c r="C1083" s="11">
        <v>46153.0</v>
      </c>
      <c r="D1083" s="11">
        <v>46163.0</v>
      </c>
      <c r="E1083" s="10" t="s">
        <v>16</v>
      </c>
      <c r="F1083" s="12">
        <v>50097.0</v>
      </c>
      <c r="G1083" s="13">
        <v>3783.0</v>
      </c>
      <c r="H1083" s="13">
        <v>673.0</v>
      </c>
      <c r="I1083" s="14">
        <v>60512.55</v>
      </c>
      <c r="J1083" s="13">
        <v>80527.0</v>
      </c>
      <c r="K1083" s="13">
        <v>1207905.0</v>
      </c>
      <c r="L1083" s="10" t="s">
        <v>17</v>
      </c>
      <c r="M1083" s="15">
        <f t="shared" si="1"/>
        <v>0.2079076591</v>
      </c>
      <c r="N1083" s="16">
        <v>74.44</v>
      </c>
    </row>
    <row r="1084" ht="15.75" customHeight="1">
      <c r="A1084" s="9" t="s">
        <v>1131</v>
      </c>
      <c r="B1084" s="10" t="s">
        <v>52</v>
      </c>
      <c r="C1084" s="11">
        <v>46060.0</v>
      </c>
      <c r="D1084" s="11">
        <v>46105.0</v>
      </c>
      <c r="E1084" s="10" t="s">
        <v>16</v>
      </c>
      <c r="F1084" s="12">
        <v>19159.0</v>
      </c>
      <c r="G1084" s="13">
        <v>2379.0</v>
      </c>
      <c r="H1084" s="13">
        <v>2385.0</v>
      </c>
      <c r="I1084" s="14">
        <v>23123.41</v>
      </c>
      <c r="J1084" s="13">
        <v>21134.0</v>
      </c>
      <c r="K1084" s="13">
        <v>211340.0</v>
      </c>
      <c r="L1084" s="10" t="s">
        <v>17</v>
      </c>
      <c r="M1084" s="15">
        <f t="shared" si="1"/>
        <v>0.2069215512</v>
      </c>
      <c r="N1084" s="16">
        <v>8.03</v>
      </c>
    </row>
    <row r="1085" ht="15.75" customHeight="1">
      <c r="A1085" s="9" t="s">
        <v>1132</v>
      </c>
      <c r="B1085" s="10" t="s">
        <v>28</v>
      </c>
      <c r="C1085" s="11">
        <v>45881.0</v>
      </c>
      <c r="D1085" s="11">
        <v>45902.0</v>
      </c>
      <c r="E1085" s="10" t="s">
        <v>35</v>
      </c>
      <c r="F1085" s="12">
        <v>3048.0</v>
      </c>
      <c r="G1085" s="13">
        <v>154.0</v>
      </c>
      <c r="H1085" s="13">
        <v>18.0</v>
      </c>
      <c r="I1085" s="14">
        <v>2115.5</v>
      </c>
      <c r="J1085" s="13">
        <v>13376.0</v>
      </c>
      <c r="K1085" s="13">
        <v>321024.0</v>
      </c>
      <c r="L1085" s="10" t="s">
        <v>17</v>
      </c>
      <c r="M1085" s="15">
        <f t="shared" si="1"/>
        <v>-0.3059383202</v>
      </c>
      <c r="N1085" s="16">
        <v>169.33</v>
      </c>
    </row>
    <row r="1086" ht="15.75" customHeight="1">
      <c r="A1086" s="9" t="s">
        <v>14</v>
      </c>
      <c r="B1086" s="10" t="s">
        <v>52</v>
      </c>
      <c r="C1086" s="11">
        <v>45901.0</v>
      </c>
      <c r="D1086" s="11">
        <v>45926.0</v>
      </c>
      <c r="E1086" s="10" t="s">
        <v>35</v>
      </c>
      <c r="F1086" s="12">
        <v>2121.0</v>
      </c>
      <c r="G1086" s="13">
        <v>333.0</v>
      </c>
      <c r="H1086" s="13">
        <v>42.0</v>
      </c>
      <c r="I1086" s="14">
        <v>1207.24</v>
      </c>
      <c r="J1086" s="13">
        <v>10605.0</v>
      </c>
      <c r="K1086" s="13">
        <v>286335.0</v>
      </c>
      <c r="L1086" s="10" t="s">
        <v>17</v>
      </c>
      <c r="M1086" s="15">
        <f t="shared" si="1"/>
        <v>-0.430815653</v>
      </c>
      <c r="N1086" s="16">
        <v>50.5</v>
      </c>
    </row>
    <row r="1087" ht="15.75" customHeight="1">
      <c r="A1087" s="9" t="s">
        <v>1133</v>
      </c>
      <c r="B1087" s="10" t="s">
        <v>19</v>
      </c>
      <c r="C1087" s="11">
        <v>46152.0</v>
      </c>
      <c r="D1087" s="11">
        <v>46176.0</v>
      </c>
      <c r="E1087" s="10" t="s">
        <v>26</v>
      </c>
      <c r="F1087" s="12">
        <v>6636.0</v>
      </c>
      <c r="G1087" s="13">
        <v>358.0</v>
      </c>
      <c r="H1087" s="13">
        <v>24.0</v>
      </c>
      <c r="I1087" s="14">
        <v>4661.15</v>
      </c>
      <c r="J1087" s="13">
        <v>10944.0</v>
      </c>
      <c r="K1087" s="13">
        <v>306432.0</v>
      </c>
      <c r="L1087" s="10" t="s">
        <v>17</v>
      </c>
      <c r="M1087" s="15">
        <f t="shared" si="1"/>
        <v>-0.2975964436</v>
      </c>
      <c r="N1087" s="16">
        <v>276.5</v>
      </c>
    </row>
    <row r="1088" ht="15.75" customHeight="1">
      <c r="A1088" s="9" t="s">
        <v>1134</v>
      </c>
      <c r="B1088" s="10" t="s">
        <v>47</v>
      </c>
      <c r="C1088" s="11">
        <v>46151.0</v>
      </c>
      <c r="D1088" s="11">
        <v>46168.0</v>
      </c>
      <c r="E1088" s="10" t="s">
        <v>35</v>
      </c>
      <c r="F1088" s="12">
        <v>984.0</v>
      </c>
      <c r="G1088" s="13">
        <v>82.0</v>
      </c>
      <c r="H1088" s="13">
        <v>14.0</v>
      </c>
      <c r="I1088" s="14">
        <v>12992.37</v>
      </c>
      <c r="J1088" s="13">
        <v>2373.0</v>
      </c>
      <c r="K1088" s="13">
        <v>26103.0</v>
      </c>
      <c r="L1088" s="10" t="s">
        <v>17</v>
      </c>
      <c r="M1088" s="15">
        <f t="shared" si="1"/>
        <v>12.20362805</v>
      </c>
      <c r="N1088" s="16">
        <v>70.29</v>
      </c>
    </row>
    <row r="1089" ht="15.75" customHeight="1">
      <c r="A1089" s="9" t="s">
        <v>1135</v>
      </c>
      <c r="B1089" s="10" t="s">
        <v>30</v>
      </c>
      <c r="C1089" s="11">
        <v>46066.0</v>
      </c>
      <c r="D1089" s="11">
        <v>46085.0</v>
      </c>
      <c r="E1089" s="10" t="s">
        <v>35</v>
      </c>
      <c r="F1089" s="12">
        <v>2762.0</v>
      </c>
      <c r="G1089" s="13">
        <v>209.0</v>
      </c>
      <c r="H1089" s="13">
        <v>55.0</v>
      </c>
      <c r="I1089" s="14">
        <v>25367.09</v>
      </c>
      <c r="J1089" s="13">
        <v>9495.0</v>
      </c>
      <c r="K1089" s="13">
        <v>246870.0</v>
      </c>
      <c r="L1089" s="10" t="s">
        <v>17</v>
      </c>
      <c r="M1089" s="15">
        <f t="shared" si="1"/>
        <v>8.184319334</v>
      </c>
      <c r="N1089" s="16">
        <v>50.22</v>
      </c>
    </row>
    <row r="1090" ht="15.75" customHeight="1">
      <c r="A1090" s="9" t="s">
        <v>1136</v>
      </c>
      <c r="B1090" s="10" t="s">
        <v>30</v>
      </c>
      <c r="C1090" s="11">
        <v>46101.0</v>
      </c>
      <c r="D1090" s="11">
        <v>46121.0</v>
      </c>
      <c r="E1090" s="10" t="s">
        <v>16</v>
      </c>
      <c r="F1090" s="12">
        <v>19743.0</v>
      </c>
      <c r="G1090" s="13">
        <v>1428.0</v>
      </c>
      <c r="H1090" s="13">
        <v>160.0</v>
      </c>
      <c r="I1090" s="14">
        <v>27827.28</v>
      </c>
      <c r="J1090" s="13">
        <v>21974.0</v>
      </c>
      <c r="K1090" s="13">
        <v>285662.0</v>
      </c>
      <c r="L1090" s="10" t="s">
        <v>17</v>
      </c>
      <c r="M1090" s="15">
        <f t="shared" si="1"/>
        <v>0.4094757636</v>
      </c>
      <c r="N1090" s="16">
        <v>123.39</v>
      </c>
    </row>
    <row r="1091" ht="15.75" customHeight="1">
      <c r="A1091" s="9" t="s">
        <v>1137</v>
      </c>
      <c r="B1091" s="10" t="s">
        <v>75</v>
      </c>
      <c r="C1091" s="11">
        <v>45962.0</v>
      </c>
      <c r="D1091" s="11">
        <v>46012.0</v>
      </c>
      <c r="E1091" s="10" t="s">
        <v>35</v>
      </c>
      <c r="F1091" s="12">
        <v>1953.0</v>
      </c>
      <c r="G1091" s="13">
        <v>221.0</v>
      </c>
      <c r="H1091" s="13">
        <v>61.0</v>
      </c>
      <c r="I1091" s="14">
        <v>2540.42</v>
      </c>
      <c r="J1091" s="13">
        <v>9258.0</v>
      </c>
      <c r="K1091" s="13">
        <v>166644.0</v>
      </c>
      <c r="L1091" s="10" t="s">
        <v>17</v>
      </c>
      <c r="M1091" s="15">
        <f t="shared" si="1"/>
        <v>0.3007782898</v>
      </c>
      <c r="N1091" s="16">
        <v>32.02</v>
      </c>
    </row>
    <row r="1092" ht="15.75" customHeight="1">
      <c r="A1092" s="9" t="s">
        <v>1138</v>
      </c>
      <c r="B1092" s="10" t="s">
        <v>58</v>
      </c>
      <c r="C1092" s="11">
        <v>46184.0</v>
      </c>
      <c r="D1092" s="11">
        <v>46225.0</v>
      </c>
      <c r="E1092" s="10" t="s">
        <v>35</v>
      </c>
      <c r="F1092" s="12">
        <v>3184.0</v>
      </c>
      <c r="G1092" s="13">
        <v>181.0</v>
      </c>
      <c r="H1092" s="13">
        <v>31.0</v>
      </c>
      <c r="I1092" s="14">
        <v>3229.51</v>
      </c>
      <c r="J1092" s="13">
        <v>6691.0</v>
      </c>
      <c r="K1092" s="13">
        <v>80292.0</v>
      </c>
      <c r="L1092" s="10" t="s">
        <v>17</v>
      </c>
      <c r="M1092" s="15">
        <f t="shared" si="1"/>
        <v>0.01429334171</v>
      </c>
      <c r="N1092" s="16">
        <v>102.71</v>
      </c>
    </row>
    <row r="1093" ht="15.75" customHeight="1">
      <c r="A1093" s="9" t="s">
        <v>1139</v>
      </c>
      <c r="B1093" s="10" t="s">
        <v>38</v>
      </c>
      <c r="C1093" s="11">
        <v>45885.0</v>
      </c>
      <c r="D1093" s="11">
        <v>45916.0</v>
      </c>
      <c r="E1093" s="10" t="s">
        <v>16</v>
      </c>
      <c r="F1093" s="12">
        <v>17350.0</v>
      </c>
      <c r="G1093" s="13">
        <v>2664.0</v>
      </c>
      <c r="H1093" s="13">
        <v>167.0</v>
      </c>
      <c r="I1093" s="14">
        <v>10652.29</v>
      </c>
      <c r="J1093" s="13">
        <v>21810.0</v>
      </c>
      <c r="K1093" s="13">
        <v>239910.0</v>
      </c>
      <c r="L1093" s="10" t="s">
        <v>17</v>
      </c>
      <c r="M1093" s="15">
        <f t="shared" si="1"/>
        <v>-0.3860351585</v>
      </c>
      <c r="N1093" s="16">
        <v>103.89</v>
      </c>
    </row>
    <row r="1094" ht="15.75" customHeight="1">
      <c r="A1094" s="9" t="s">
        <v>1140</v>
      </c>
      <c r="B1094" s="10" t="s">
        <v>30</v>
      </c>
      <c r="C1094" s="11">
        <v>45985.0</v>
      </c>
      <c r="D1094" s="11">
        <v>46038.0</v>
      </c>
      <c r="E1094" s="10" t="s">
        <v>26</v>
      </c>
      <c r="F1094" s="12">
        <v>13776.0</v>
      </c>
      <c r="G1094" s="13">
        <v>2226.0</v>
      </c>
      <c r="H1094" s="13">
        <v>141.0</v>
      </c>
      <c r="I1094" s="14">
        <v>14022.94</v>
      </c>
      <c r="J1094" s="13">
        <v>15540.0</v>
      </c>
      <c r="K1094" s="13">
        <v>155400.0</v>
      </c>
      <c r="L1094" s="10" t="s">
        <v>17</v>
      </c>
      <c r="M1094" s="15">
        <f t="shared" si="1"/>
        <v>0.01792537747</v>
      </c>
      <c r="N1094" s="16">
        <v>97.7</v>
      </c>
    </row>
    <row r="1095" ht="15.75" customHeight="1">
      <c r="A1095" s="9" t="s">
        <v>1141</v>
      </c>
      <c r="B1095" s="10" t="s">
        <v>62</v>
      </c>
      <c r="C1095" s="11">
        <v>46066.0</v>
      </c>
      <c r="D1095" s="11">
        <v>46069.0</v>
      </c>
      <c r="E1095" s="10" t="s">
        <v>35</v>
      </c>
      <c r="F1095" s="12">
        <v>1768.0</v>
      </c>
      <c r="G1095" s="13">
        <v>183.0</v>
      </c>
      <c r="H1095" s="13">
        <v>40.0</v>
      </c>
      <c r="I1095" s="14">
        <v>6961.36</v>
      </c>
      <c r="J1095" s="13">
        <v>3677.0</v>
      </c>
      <c r="K1095" s="13">
        <v>77217.0</v>
      </c>
      <c r="L1095" s="10" t="s">
        <v>17</v>
      </c>
      <c r="M1095" s="15">
        <f t="shared" si="1"/>
        <v>2.937420814</v>
      </c>
      <c r="N1095" s="16">
        <v>44.2</v>
      </c>
    </row>
    <row r="1096" ht="15.75" customHeight="1">
      <c r="A1096" s="9" t="s">
        <v>1142</v>
      </c>
      <c r="B1096" s="10" t="s">
        <v>52</v>
      </c>
      <c r="C1096" s="11">
        <v>46053.0</v>
      </c>
      <c r="D1096" s="11">
        <v>46060.0</v>
      </c>
      <c r="E1096" s="10" t="s">
        <v>16</v>
      </c>
      <c r="F1096" s="12">
        <v>15193.0</v>
      </c>
      <c r="G1096" s="13">
        <v>1181.0</v>
      </c>
      <c r="H1096" s="13">
        <v>63.0</v>
      </c>
      <c r="I1096" s="14">
        <v>12446.74</v>
      </c>
      <c r="J1096" s="13">
        <v>14126.0</v>
      </c>
      <c r="K1096" s="13">
        <v>381402.0</v>
      </c>
      <c r="L1096" s="10" t="s">
        <v>17</v>
      </c>
      <c r="M1096" s="15">
        <f t="shared" si="1"/>
        <v>-0.1807582439</v>
      </c>
      <c r="N1096" s="16">
        <v>241.16</v>
      </c>
    </row>
    <row r="1097" ht="15.75" customHeight="1">
      <c r="A1097" s="9" t="s">
        <v>1143</v>
      </c>
      <c r="B1097" s="10" t="s">
        <v>38</v>
      </c>
      <c r="C1097" s="11">
        <v>46159.0</v>
      </c>
      <c r="D1097" s="11">
        <v>46197.0</v>
      </c>
      <c r="E1097" s="10" t="s">
        <v>26</v>
      </c>
      <c r="F1097" s="12">
        <v>24774.0</v>
      </c>
      <c r="G1097" s="13">
        <v>1761.0</v>
      </c>
      <c r="H1097" s="13">
        <v>133.0</v>
      </c>
      <c r="I1097" s="14">
        <v>10936.52</v>
      </c>
      <c r="J1097" s="13">
        <v>78791.0</v>
      </c>
      <c r="K1097" s="13">
        <v>1969775.0</v>
      </c>
      <c r="L1097" s="10" t="s">
        <v>17</v>
      </c>
      <c r="M1097" s="15">
        <f t="shared" si="1"/>
        <v>-0.5585484782</v>
      </c>
      <c r="N1097" s="16">
        <v>186.27</v>
      </c>
    </row>
    <row r="1098" ht="15.75" customHeight="1">
      <c r="A1098" s="9" t="s">
        <v>1144</v>
      </c>
      <c r="B1098" s="10" t="s">
        <v>19</v>
      </c>
      <c r="C1098" s="11">
        <v>46114.0</v>
      </c>
      <c r="D1098" s="11">
        <v>46153.0</v>
      </c>
      <c r="E1098" s="10" t="s">
        <v>16</v>
      </c>
      <c r="F1098" s="12">
        <v>52671.0</v>
      </c>
      <c r="G1098" s="13">
        <v>3475.0</v>
      </c>
      <c r="H1098" s="13">
        <v>240.0</v>
      </c>
      <c r="I1098" s="14">
        <v>18584.22</v>
      </c>
      <c r="J1098" s="13">
        <v>70862.0</v>
      </c>
      <c r="K1098" s="13">
        <v>1913274.0</v>
      </c>
      <c r="L1098" s="10" t="s">
        <v>17</v>
      </c>
      <c r="M1098" s="15">
        <f t="shared" si="1"/>
        <v>-0.6471640941</v>
      </c>
      <c r="N1098" s="16">
        <v>219.46</v>
      </c>
    </row>
    <row r="1099" ht="15.75" customHeight="1">
      <c r="A1099" s="9" t="s">
        <v>1145</v>
      </c>
      <c r="B1099" s="10" t="s">
        <v>75</v>
      </c>
      <c r="C1099" s="11">
        <v>45891.0</v>
      </c>
      <c r="D1099" s="11">
        <v>45925.0</v>
      </c>
      <c r="E1099" s="10" t="s">
        <v>35</v>
      </c>
      <c r="F1099" s="12">
        <v>2452.0</v>
      </c>
      <c r="G1099" s="13">
        <v>258.0</v>
      </c>
      <c r="H1099" s="13">
        <v>67.0</v>
      </c>
      <c r="I1099" s="14">
        <v>4550.92</v>
      </c>
      <c r="J1099" s="13">
        <v>7569.0</v>
      </c>
      <c r="K1099" s="13">
        <v>121104.0</v>
      </c>
      <c r="L1099" s="10" t="s">
        <v>17</v>
      </c>
      <c r="M1099" s="15">
        <f t="shared" si="1"/>
        <v>0.8560032626</v>
      </c>
      <c r="N1099" s="16">
        <v>36.6</v>
      </c>
    </row>
    <row r="1100" ht="15.75" customHeight="1">
      <c r="A1100" s="9" t="s">
        <v>1146</v>
      </c>
      <c r="B1100" s="10" t="s">
        <v>75</v>
      </c>
      <c r="C1100" s="11">
        <v>46058.0</v>
      </c>
      <c r="D1100" s="11">
        <v>46086.0</v>
      </c>
      <c r="E1100" s="10" t="s">
        <v>26</v>
      </c>
      <c r="F1100" s="12">
        <v>12095.0</v>
      </c>
      <c r="G1100" s="13">
        <v>724.0</v>
      </c>
      <c r="H1100" s="13">
        <v>22.0</v>
      </c>
      <c r="I1100" s="14">
        <v>746.85</v>
      </c>
      <c r="J1100" s="13">
        <v>21328.0</v>
      </c>
      <c r="K1100" s="13">
        <v>319920.0</v>
      </c>
      <c r="L1100" s="10" t="s">
        <v>17</v>
      </c>
      <c r="M1100" s="15">
        <f t="shared" si="1"/>
        <v>-0.9382513435</v>
      </c>
      <c r="N1100" s="16">
        <v>549.77</v>
      </c>
    </row>
    <row r="1101" ht="15.75" customHeight="1">
      <c r="A1101" s="9" t="s">
        <v>1147</v>
      </c>
      <c r="B1101" s="10" t="s">
        <v>62</v>
      </c>
      <c r="C1101" s="11">
        <v>45999.0</v>
      </c>
      <c r="D1101" s="11">
        <v>46050.0</v>
      </c>
      <c r="E1101" s="10" t="s">
        <v>35</v>
      </c>
      <c r="F1101" s="12">
        <v>3961.0</v>
      </c>
      <c r="G1101" s="13">
        <v>485.0</v>
      </c>
      <c r="H1101" s="13">
        <v>108.0</v>
      </c>
      <c r="I1101" s="14">
        <v>12571.7</v>
      </c>
      <c r="J1101" s="13">
        <v>8049.0</v>
      </c>
      <c r="K1101" s="13">
        <v>241470.0</v>
      </c>
      <c r="L1101" s="10" t="s">
        <v>17</v>
      </c>
      <c r="M1101" s="15">
        <f t="shared" si="1"/>
        <v>2.173870235</v>
      </c>
      <c r="N1101" s="16">
        <v>36.68</v>
      </c>
    </row>
    <row r="1102" ht="15.75" customHeight="1">
      <c r="A1102" s="9" t="s">
        <v>1148</v>
      </c>
      <c r="B1102" s="10" t="s">
        <v>25</v>
      </c>
      <c r="C1102" s="11">
        <v>45841.0</v>
      </c>
      <c r="D1102" s="11">
        <v>45870.0</v>
      </c>
      <c r="E1102" s="10" t="s">
        <v>26</v>
      </c>
      <c r="F1102" s="12">
        <v>21459.0</v>
      </c>
      <c r="G1102" s="13">
        <v>2324.0</v>
      </c>
      <c r="H1102" s="13">
        <v>64.0</v>
      </c>
      <c r="I1102" s="14">
        <v>8518.46</v>
      </c>
      <c r="J1102" s="13">
        <v>33504.0</v>
      </c>
      <c r="K1102" s="13">
        <v>402048.0</v>
      </c>
      <c r="L1102" s="10" t="s">
        <v>17</v>
      </c>
      <c r="M1102" s="15">
        <f t="shared" si="1"/>
        <v>-0.6030355562</v>
      </c>
      <c r="N1102" s="16">
        <v>335.3</v>
      </c>
    </row>
    <row r="1103" ht="15.75" customHeight="1">
      <c r="A1103" s="9" t="s">
        <v>1149</v>
      </c>
      <c r="B1103" s="10" t="s">
        <v>25</v>
      </c>
      <c r="C1103" s="11">
        <v>45957.0</v>
      </c>
      <c r="D1103" s="11">
        <v>46007.0</v>
      </c>
      <c r="E1103" s="10" t="s">
        <v>16</v>
      </c>
      <c r="F1103" s="12">
        <v>27943.0</v>
      </c>
      <c r="G1103" s="13">
        <v>2093.0</v>
      </c>
      <c r="H1103" s="13">
        <v>295.0</v>
      </c>
      <c r="I1103" s="14">
        <v>26270.88</v>
      </c>
      <c r="J1103" s="13">
        <v>25085.0</v>
      </c>
      <c r="K1103" s="13">
        <v>526785.0</v>
      </c>
      <c r="L1103" s="10" t="s">
        <v>17</v>
      </c>
      <c r="M1103" s="15">
        <f t="shared" si="1"/>
        <v>-0.05984038936</v>
      </c>
      <c r="N1103" s="16">
        <v>94.72</v>
      </c>
    </row>
    <row r="1104" ht="15.75" customHeight="1">
      <c r="A1104" s="9" t="s">
        <v>1150</v>
      </c>
      <c r="B1104" s="10" t="s">
        <v>19</v>
      </c>
      <c r="C1104" s="11">
        <v>45939.0</v>
      </c>
      <c r="D1104" s="11">
        <v>45960.0</v>
      </c>
      <c r="E1104" s="10" t="s">
        <v>26</v>
      </c>
      <c r="F1104" s="12">
        <v>38668.0</v>
      </c>
      <c r="G1104" s="13">
        <v>1241.0</v>
      </c>
      <c r="H1104" s="13">
        <v>59.0</v>
      </c>
      <c r="I1104" s="14">
        <v>12076.82</v>
      </c>
      <c r="J1104" s="13">
        <v>20966.0</v>
      </c>
      <c r="K1104" s="13">
        <v>545116.0</v>
      </c>
      <c r="L1104" s="10" t="s">
        <v>17</v>
      </c>
      <c r="M1104" s="15">
        <f t="shared" si="1"/>
        <v>-0.687679218</v>
      </c>
      <c r="N1104" s="16">
        <v>316.41</v>
      </c>
    </row>
    <row r="1105" ht="15.75" customHeight="1">
      <c r="A1105" s="9" t="s">
        <v>1151</v>
      </c>
      <c r="B1105" s="10" t="s">
        <v>58</v>
      </c>
      <c r="C1105" s="11">
        <v>46174.0</v>
      </c>
      <c r="D1105" s="11">
        <v>46180.0</v>
      </c>
      <c r="E1105" s="10" t="s">
        <v>26</v>
      </c>
      <c r="F1105" s="12">
        <v>17539.0</v>
      </c>
      <c r="G1105" s="13">
        <v>1273.0</v>
      </c>
      <c r="H1105" s="13">
        <v>27.0</v>
      </c>
      <c r="I1105" s="14">
        <v>1789.63</v>
      </c>
      <c r="J1105" s="13">
        <v>40033.0</v>
      </c>
      <c r="K1105" s="13">
        <v>600495.0</v>
      </c>
      <c r="L1105" s="10" t="s">
        <v>17</v>
      </c>
      <c r="M1105" s="15">
        <f t="shared" si="1"/>
        <v>-0.8979628257</v>
      </c>
      <c r="N1105" s="16">
        <v>649.59</v>
      </c>
    </row>
    <row r="1106" ht="15.75" customHeight="1">
      <c r="A1106" s="9" t="s">
        <v>1152</v>
      </c>
      <c r="B1106" s="10" t="s">
        <v>25</v>
      </c>
      <c r="C1106" s="11">
        <v>46129.0</v>
      </c>
      <c r="D1106" s="11">
        <v>46188.0</v>
      </c>
      <c r="E1106" s="10" t="s">
        <v>26</v>
      </c>
      <c r="F1106" s="12">
        <v>11338.0</v>
      </c>
      <c r="G1106" s="13">
        <v>1099.0</v>
      </c>
      <c r="H1106" s="13">
        <v>42.0</v>
      </c>
      <c r="I1106" s="14">
        <v>1976.9</v>
      </c>
      <c r="J1106" s="13">
        <v>15517.0</v>
      </c>
      <c r="K1106" s="13">
        <v>372408.0</v>
      </c>
      <c r="L1106" s="10" t="s">
        <v>17</v>
      </c>
      <c r="M1106" s="15">
        <f t="shared" si="1"/>
        <v>-0.8256394426</v>
      </c>
      <c r="N1106" s="16">
        <v>269.95</v>
      </c>
    </row>
    <row r="1107" ht="15.75" customHeight="1">
      <c r="A1107" s="9" t="s">
        <v>1153</v>
      </c>
      <c r="B1107" s="10" t="s">
        <v>30</v>
      </c>
      <c r="C1107" s="11">
        <v>46034.0</v>
      </c>
      <c r="D1107" s="11">
        <v>46037.0</v>
      </c>
      <c r="E1107" s="10" t="s">
        <v>35</v>
      </c>
      <c r="F1107" s="12">
        <v>3548.0</v>
      </c>
      <c r="G1107" s="13">
        <v>189.0</v>
      </c>
      <c r="H1107" s="13">
        <v>43.0</v>
      </c>
      <c r="I1107" s="14">
        <v>38117.98</v>
      </c>
      <c r="J1107" s="13">
        <v>14868.0</v>
      </c>
      <c r="K1107" s="13">
        <v>446040.0</v>
      </c>
      <c r="L1107" s="10" t="s">
        <v>17</v>
      </c>
      <c r="M1107" s="15">
        <f t="shared" si="1"/>
        <v>9.743511838</v>
      </c>
      <c r="N1107" s="16">
        <v>82.51</v>
      </c>
    </row>
    <row r="1108" ht="15.75" customHeight="1">
      <c r="A1108" s="9" t="s">
        <v>1154</v>
      </c>
      <c r="B1108" s="10" t="s">
        <v>19</v>
      </c>
      <c r="C1108" s="11">
        <v>45886.0</v>
      </c>
      <c r="D1108" s="11">
        <v>45925.0</v>
      </c>
      <c r="E1108" s="10" t="s">
        <v>16</v>
      </c>
      <c r="F1108" s="12">
        <v>21100.0</v>
      </c>
      <c r="G1108" s="13">
        <v>1081.0</v>
      </c>
      <c r="H1108" s="13">
        <v>106.0</v>
      </c>
      <c r="I1108" s="14">
        <v>18526.62</v>
      </c>
      <c r="J1108" s="13">
        <v>15926.0</v>
      </c>
      <c r="K1108" s="13">
        <v>382224.0</v>
      </c>
      <c r="L1108" s="10" t="s">
        <v>17</v>
      </c>
      <c r="M1108" s="15">
        <f t="shared" si="1"/>
        <v>-0.1219611374</v>
      </c>
      <c r="N1108" s="16">
        <v>199.06</v>
      </c>
    </row>
    <row r="1109" ht="15.75" customHeight="1">
      <c r="A1109" s="9" t="s">
        <v>1155</v>
      </c>
      <c r="B1109" s="10" t="s">
        <v>52</v>
      </c>
      <c r="C1109" s="11">
        <v>46099.0</v>
      </c>
      <c r="D1109" s="11">
        <v>46123.0</v>
      </c>
      <c r="E1109" s="10" t="s">
        <v>26</v>
      </c>
      <c r="F1109" s="12">
        <v>4985.0</v>
      </c>
      <c r="G1109" s="13">
        <v>706.0</v>
      </c>
      <c r="H1109" s="13">
        <v>43.0</v>
      </c>
      <c r="I1109" s="14">
        <v>5990.76</v>
      </c>
      <c r="J1109" s="13">
        <v>6229.0</v>
      </c>
      <c r="K1109" s="13">
        <v>149496.0</v>
      </c>
      <c r="L1109" s="10" t="s">
        <v>17</v>
      </c>
      <c r="M1109" s="15">
        <f t="shared" si="1"/>
        <v>0.2017572718</v>
      </c>
      <c r="N1109" s="16">
        <v>115.93</v>
      </c>
    </row>
    <row r="1110" ht="15.75" customHeight="1">
      <c r="A1110" s="9" t="s">
        <v>1156</v>
      </c>
      <c r="B1110" s="10" t="s">
        <v>38</v>
      </c>
      <c r="C1110" s="11">
        <v>46149.0</v>
      </c>
      <c r="D1110" s="11">
        <v>46185.0</v>
      </c>
      <c r="E1110" s="10" t="s">
        <v>26</v>
      </c>
      <c r="F1110" s="12">
        <v>20809.0</v>
      </c>
      <c r="G1110" s="13">
        <v>1366.0</v>
      </c>
      <c r="H1110" s="13">
        <v>80.0</v>
      </c>
      <c r="I1110" s="14">
        <v>8718.31</v>
      </c>
      <c r="J1110" s="13">
        <v>49249.0</v>
      </c>
      <c r="K1110" s="13">
        <v>1034229.0</v>
      </c>
      <c r="L1110" s="10" t="s">
        <v>17</v>
      </c>
      <c r="M1110" s="15">
        <f t="shared" si="1"/>
        <v>-0.5810317651</v>
      </c>
      <c r="N1110" s="16">
        <v>260.11</v>
      </c>
    </row>
    <row r="1111" ht="15.75" customHeight="1">
      <c r="A1111" s="9" t="s">
        <v>1157</v>
      </c>
      <c r="B1111" s="10" t="s">
        <v>52</v>
      </c>
      <c r="C1111" s="11">
        <v>46135.0</v>
      </c>
      <c r="D1111" s="11">
        <v>46185.0</v>
      </c>
      <c r="E1111" s="10" t="s">
        <v>16</v>
      </c>
      <c r="F1111" s="12">
        <v>53714.0</v>
      </c>
      <c r="G1111" s="13">
        <v>8191.0</v>
      </c>
      <c r="H1111" s="13">
        <v>964.0</v>
      </c>
      <c r="I1111" s="14">
        <v>62488.43</v>
      </c>
      <c r="J1111" s="13">
        <v>46146.0</v>
      </c>
      <c r="K1111" s="13">
        <v>646044.0</v>
      </c>
      <c r="L1111" s="10" t="s">
        <v>17</v>
      </c>
      <c r="M1111" s="15">
        <f t="shared" si="1"/>
        <v>0.1633546189</v>
      </c>
      <c r="N1111" s="16">
        <v>55.72</v>
      </c>
    </row>
    <row r="1112" ht="15.75" customHeight="1">
      <c r="A1112" s="9" t="s">
        <v>1158</v>
      </c>
      <c r="B1112" s="10" t="s">
        <v>58</v>
      </c>
      <c r="C1112" s="11">
        <v>46055.0</v>
      </c>
      <c r="D1112" s="11">
        <v>46078.0</v>
      </c>
      <c r="E1112" s="10" t="s">
        <v>16</v>
      </c>
      <c r="F1112" s="12">
        <v>35818.0</v>
      </c>
      <c r="G1112" s="13">
        <v>4505.0</v>
      </c>
      <c r="H1112" s="13">
        <v>638.0</v>
      </c>
      <c r="I1112" s="14">
        <v>154206.46</v>
      </c>
      <c r="J1112" s="13">
        <v>34261.0</v>
      </c>
      <c r="K1112" s="13">
        <v>445393.0</v>
      </c>
      <c r="L1112" s="10" t="s">
        <v>17</v>
      </c>
      <c r="M1112" s="15">
        <f t="shared" si="1"/>
        <v>3.305278352</v>
      </c>
      <c r="N1112" s="16">
        <v>56.14</v>
      </c>
    </row>
    <row r="1113" ht="15.75" customHeight="1">
      <c r="A1113" s="9" t="s">
        <v>1159</v>
      </c>
      <c r="B1113" s="10" t="s">
        <v>56</v>
      </c>
      <c r="C1113" s="11">
        <v>46125.0</v>
      </c>
      <c r="D1113" s="11">
        <v>46130.0</v>
      </c>
      <c r="E1113" s="10" t="s">
        <v>16</v>
      </c>
      <c r="F1113" s="12">
        <v>11360.0</v>
      </c>
      <c r="G1113" s="13">
        <v>1371.0</v>
      </c>
      <c r="H1113" s="13">
        <v>189.0</v>
      </c>
      <c r="I1113" s="14">
        <v>23170.93</v>
      </c>
      <c r="J1113" s="13">
        <v>10929.0</v>
      </c>
      <c r="K1113" s="13">
        <v>87432.0</v>
      </c>
      <c r="L1113" s="10" t="s">
        <v>17</v>
      </c>
      <c r="M1113" s="15">
        <f t="shared" si="1"/>
        <v>1.039694542</v>
      </c>
      <c r="N1113" s="16">
        <v>60.11</v>
      </c>
    </row>
    <row r="1114" ht="15.75" customHeight="1">
      <c r="A1114" s="9" t="s">
        <v>1160</v>
      </c>
      <c r="B1114" s="10" t="s">
        <v>28</v>
      </c>
      <c r="C1114" s="11">
        <v>46035.0</v>
      </c>
      <c r="D1114" s="11">
        <v>46065.0</v>
      </c>
      <c r="E1114" s="10" t="s">
        <v>26</v>
      </c>
      <c r="F1114" s="12">
        <v>21915.0</v>
      </c>
      <c r="G1114" s="13">
        <v>2712.0</v>
      </c>
      <c r="H1114" s="13">
        <v>145.0</v>
      </c>
      <c r="I1114" s="14">
        <v>8283.45</v>
      </c>
      <c r="J1114" s="13">
        <v>31834.0</v>
      </c>
      <c r="K1114" s="13">
        <v>604846.0</v>
      </c>
      <c r="L1114" s="10" t="s">
        <v>17</v>
      </c>
      <c r="M1114" s="15">
        <f t="shared" si="1"/>
        <v>-0.622019165</v>
      </c>
      <c r="N1114" s="16">
        <v>151.14</v>
      </c>
    </row>
    <row r="1115" ht="15.75" customHeight="1">
      <c r="A1115" s="9" t="s">
        <v>1161</v>
      </c>
      <c r="B1115" s="10" t="s">
        <v>56</v>
      </c>
      <c r="C1115" s="11">
        <v>46078.0</v>
      </c>
      <c r="D1115" s="11">
        <v>46133.0</v>
      </c>
      <c r="E1115" s="10" t="s">
        <v>35</v>
      </c>
      <c r="F1115" s="12">
        <v>2360.0</v>
      </c>
      <c r="G1115" s="13">
        <v>126.0</v>
      </c>
      <c r="H1115" s="13">
        <v>36.0</v>
      </c>
      <c r="I1115" s="14">
        <v>19413.49</v>
      </c>
      <c r="J1115" s="13">
        <v>15457.0</v>
      </c>
      <c r="K1115" s="13">
        <v>463710.0</v>
      </c>
      <c r="L1115" s="10" t="s">
        <v>17</v>
      </c>
      <c r="M1115" s="15">
        <f t="shared" si="1"/>
        <v>7.226055085</v>
      </c>
      <c r="N1115" s="16">
        <v>65.56</v>
      </c>
    </row>
    <row r="1116" ht="15.75" customHeight="1">
      <c r="A1116" s="9" t="s">
        <v>1162</v>
      </c>
      <c r="B1116" s="10" t="s">
        <v>58</v>
      </c>
      <c r="C1116" s="11">
        <v>45981.0</v>
      </c>
      <c r="D1116" s="11">
        <v>45993.0</v>
      </c>
      <c r="E1116" s="10" t="s">
        <v>35</v>
      </c>
      <c r="F1116" s="12">
        <v>2384.0</v>
      </c>
      <c r="G1116" s="13">
        <v>319.0</v>
      </c>
      <c r="H1116" s="13">
        <v>50.0</v>
      </c>
      <c r="I1116" s="14">
        <v>7179.68</v>
      </c>
      <c r="J1116" s="13">
        <v>9475.0</v>
      </c>
      <c r="K1116" s="13">
        <v>217925.0</v>
      </c>
      <c r="L1116" s="10" t="s">
        <v>17</v>
      </c>
      <c r="M1116" s="15">
        <f t="shared" si="1"/>
        <v>2.011610738</v>
      </c>
      <c r="N1116" s="16">
        <v>47.68</v>
      </c>
    </row>
    <row r="1117" ht="15.75" customHeight="1">
      <c r="A1117" s="9" t="s">
        <v>1163</v>
      </c>
      <c r="B1117" s="10" t="s">
        <v>15</v>
      </c>
      <c r="C1117" s="11">
        <v>46187.0</v>
      </c>
      <c r="D1117" s="11">
        <v>46214.0</v>
      </c>
      <c r="E1117" s="10" t="s">
        <v>16</v>
      </c>
      <c r="F1117" s="12">
        <v>41341.0</v>
      </c>
      <c r="G1117" s="13">
        <v>2511.0</v>
      </c>
      <c r="H1117" s="13">
        <v>404.0</v>
      </c>
      <c r="I1117" s="14">
        <v>20878.48</v>
      </c>
      <c r="J1117" s="13">
        <v>59503.0</v>
      </c>
      <c r="K1117" s="13">
        <v>714036.0</v>
      </c>
      <c r="L1117" s="10" t="s">
        <v>17</v>
      </c>
      <c r="M1117" s="15">
        <f t="shared" si="1"/>
        <v>-0.4949691589</v>
      </c>
      <c r="N1117" s="16">
        <v>102.33</v>
      </c>
    </row>
    <row r="1118" ht="15.75" customHeight="1">
      <c r="A1118" s="9" t="s">
        <v>1164</v>
      </c>
      <c r="B1118" s="10" t="s">
        <v>56</v>
      </c>
      <c r="C1118" s="11">
        <v>46158.0</v>
      </c>
      <c r="D1118" s="11">
        <v>46173.0</v>
      </c>
      <c r="E1118" s="10" t="s">
        <v>35</v>
      </c>
      <c r="F1118" s="12">
        <v>22293.0</v>
      </c>
      <c r="G1118" s="13">
        <v>439.0</v>
      </c>
      <c r="H1118" s="13">
        <v>55.0</v>
      </c>
      <c r="I1118" s="14">
        <v>5760.65</v>
      </c>
      <c r="J1118" s="13">
        <v>12676.0</v>
      </c>
      <c r="K1118" s="13">
        <v>367604.0</v>
      </c>
      <c r="L1118" s="10" t="s">
        <v>17</v>
      </c>
      <c r="M1118" s="15">
        <f t="shared" si="1"/>
        <v>-0.7415937738</v>
      </c>
      <c r="N1118" s="16">
        <v>41.69</v>
      </c>
    </row>
    <row r="1119" ht="15.75" customHeight="1">
      <c r="A1119" s="9" t="s">
        <v>1165</v>
      </c>
      <c r="B1119" s="10" t="s">
        <v>56</v>
      </c>
      <c r="C1119" s="11">
        <v>45972.0</v>
      </c>
      <c r="D1119" s="11">
        <v>46029.0</v>
      </c>
      <c r="E1119" s="10" t="s">
        <v>26</v>
      </c>
      <c r="F1119" s="12">
        <v>17859.0</v>
      </c>
      <c r="G1119" s="13">
        <v>1002.0</v>
      </c>
      <c r="H1119" s="13">
        <v>74.0</v>
      </c>
      <c r="I1119" s="14">
        <v>13977.69</v>
      </c>
      <c r="J1119" s="13">
        <v>27111.0</v>
      </c>
      <c r="K1119" s="13">
        <v>271110.0</v>
      </c>
      <c r="L1119" s="10" t="s">
        <v>17</v>
      </c>
      <c r="M1119" s="15">
        <f t="shared" si="1"/>
        <v>-0.2173307576</v>
      </c>
      <c r="N1119" s="16">
        <v>241.34</v>
      </c>
    </row>
    <row r="1120" ht="15.75" customHeight="1">
      <c r="A1120" s="9" t="s">
        <v>1166</v>
      </c>
      <c r="B1120" s="10" t="s">
        <v>58</v>
      </c>
      <c r="C1120" s="11">
        <v>46175.0</v>
      </c>
      <c r="D1120" s="11">
        <v>46234.0</v>
      </c>
      <c r="E1120" s="10" t="s">
        <v>26</v>
      </c>
      <c r="F1120" s="12">
        <v>16370.0</v>
      </c>
      <c r="G1120" s="13">
        <v>2610.0</v>
      </c>
      <c r="H1120" s="13">
        <v>109.0</v>
      </c>
      <c r="I1120" s="14">
        <v>11969.39</v>
      </c>
      <c r="J1120" s="13">
        <v>21337.0</v>
      </c>
      <c r="K1120" s="13">
        <v>618773.0</v>
      </c>
      <c r="L1120" s="10" t="s">
        <v>17</v>
      </c>
      <c r="M1120" s="15">
        <f t="shared" si="1"/>
        <v>-0.2688216249</v>
      </c>
      <c r="N1120" s="16">
        <v>150.18</v>
      </c>
    </row>
    <row r="1121" ht="15.75" customHeight="1">
      <c r="A1121" s="9" t="s">
        <v>1167</v>
      </c>
      <c r="B1121" s="10" t="s">
        <v>15</v>
      </c>
      <c r="C1121" s="11">
        <v>45912.0</v>
      </c>
      <c r="D1121" s="11">
        <v>45946.0</v>
      </c>
      <c r="E1121" s="10" t="s">
        <v>26</v>
      </c>
      <c r="F1121" s="12">
        <v>66253.0</v>
      </c>
      <c r="G1121" s="13">
        <v>398.0</v>
      </c>
      <c r="H1121" s="13">
        <v>17.0</v>
      </c>
      <c r="I1121" s="14">
        <v>3582.49</v>
      </c>
      <c r="J1121" s="13">
        <v>9048.0</v>
      </c>
      <c r="K1121" s="13">
        <v>126672.0</v>
      </c>
      <c r="L1121" s="10" t="s">
        <v>17</v>
      </c>
      <c r="M1121" s="15">
        <f t="shared" si="1"/>
        <v>-0.9459271278</v>
      </c>
      <c r="N1121" s="16">
        <v>367.82</v>
      </c>
    </row>
    <row r="1122" ht="15.75" customHeight="1">
      <c r="A1122" s="9" t="s">
        <v>1168</v>
      </c>
      <c r="B1122" s="10" t="s">
        <v>19</v>
      </c>
      <c r="C1122" s="11">
        <v>45884.0</v>
      </c>
      <c r="D1122" s="11">
        <v>45890.0</v>
      </c>
      <c r="E1122" s="10" t="s">
        <v>35</v>
      </c>
      <c r="F1122" s="12">
        <v>31265.0</v>
      </c>
      <c r="G1122" s="13">
        <v>101.0</v>
      </c>
      <c r="H1122" s="13">
        <v>24.0</v>
      </c>
      <c r="I1122" s="14">
        <v>3335.35</v>
      </c>
      <c r="J1122" s="13">
        <v>3550.0</v>
      </c>
      <c r="K1122" s="13">
        <v>60350.0</v>
      </c>
      <c r="L1122" s="10" t="s">
        <v>17</v>
      </c>
      <c r="M1122" s="15">
        <f t="shared" si="1"/>
        <v>-0.8933200064</v>
      </c>
      <c r="N1122" s="16">
        <v>52.71</v>
      </c>
    </row>
    <row r="1123" ht="15.75" customHeight="1">
      <c r="A1123" s="9" t="s">
        <v>1169</v>
      </c>
      <c r="B1123" s="10" t="s">
        <v>30</v>
      </c>
      <c r="C1123" s="11">
        <v>46052.0</v>
      </c>
      <c r="D1123" s="11">
        <v>46080.0</v>
      </c>
      <c r="E1123" s="10" t="s">
        <v>26</v>
      </c>
      <c r="F1123" s="12">
        <v>8083.0</v>
      </c>
      <c r="G1123" s="13">
        <v>663.0</v>
      </c>
      <c r="H1123" s="13">
        <v>34.0</v>
      </c>
      <c r="I1123" s="14">
        <v>5726.5</v>
      </c>
      <c r="J1123" s="13">
        <v>11789.0</v>
      </c>
      <c r="K1123" s="13">
        <v>306514.0</v>
      </c>
      <c r="L1123" s="10" t="s">
        <v>17</v>
      </c>
      <c r="M1123" s="15">
        <f t="shared" si="1"/>
        <v>-0.2915377954</v>
      </c>
      <c r="N1123" s="16">
        <v>237.74</v>
      </c>
    </row>
    <row r="1124" ht="15.75" customHeight="1">
      <c r="A1124" s="9" t="s">
        <v>1170</v>
      </c>
      <c r="B1124" s="10" t="s">
        <v>47</v>
      </c>
      <c r="C1124" s="11">
        <v>45840.0</v>
      </c>
      <c r="D1124" s="11">
        <v>45898.0</v>
      </c>
      <c r="E1124" s="10" t="s">
        <v>35</v>
      </c>
      <c r="F1124" s="12">
        <v>3646.0</v>
      </c>
      <c r="G1124" s="13">
        <v>183.0</v>
      </c>
      <c r="H1124" s="13">
        <v>193.0</v>
      </c>
      <c r="I1124" s="14">
        <v>28855.81</v>
      </c>
      <c r="J1124" s="13">
        <v>16054.0</v>
      </c>
      <c r="K1124" s="13">
        <v>240810.0</v>
      </c>
      <c r="L1124" s="10" t="s">
        <v>17</v>
      </c>
      <c r="M1124" s="15">
        <f t="shared" si="1"/>
        <v>6.914374657</v>
      </c>
      <c r="N1124" s="16">
        <v>18.89</v>
      </c>
    </row>
    <row r="1125" ht="15.75" customHeight="1">
      <c r="A1125" s="9" t="s">
        <v>1171</v>
      </c>
      <c r="B1125" s="10" t="s">
        <v>56</v>
      </c>
      <c r="C1125" s="11">
        <v>46096.0</v>
      </c>
      <c r="D1125" s="11">
        <v>46117.0</v>
      </c>
      <c r="E1125" s="10" t="s">
        <v>16</v>
      </c>
      <c r="F1125" s="12">
        <v>16142.0</v>
      </c>
      <c r="G1125" s="13">
        <v>2691.0</v>
      </c>
      <c r="H1125" s="13">
        <v>167.0</v>
      </c>
      <c r="I1125" s="14">
        <v>17617.89</v>
      </c>
      <c r="J1125" s="13">
        <v>14883.0</v>
      </c>
      <c r="K1125" s="13">
        <v>416724.0</v>
      </c>
      <c r="L1125" s="10" t="s">
        <v>17</v>
      </c>
      <c r="M1125" s="15">
        <f t="shared" si="1"/>
        <v>0.09143166894</v>
      </c>
      <c r="N1125" s="16">
        <v>96.66</v>
      </c>
    </row>
    <row r="1126" ht="15.75" customHeight="1">
      <c r="A1126" s="9" t="s">
        <v>1172</v>
      </c>
      <c r="B1126" s="10" t="s">
        <v>58</v>
      </c>
      <c r="C1126" s="11">
        <v>46192.0</v>
      </c>
      <c r="D1126" s="11">
        <v>46250.0</v>
      </c>
      <c r="E1126" s="10" t="s">
        <v>16</v>
      </c>
      <c r="F1126" s="12">
        <v>13441.0</v>
      </c>
      <c r="G1126" s="13">
        <v>750.0</v>
      </c>
      <c r="H1126" s="13">
        <v>87.0</v>
      </c>
      <c r="I1126" s="14">
        <v>6051.58</v>
      </c>
      <c r="J1126" s="13">
        <v>13733.0</v>
      </c>
      <c r="K1126" s="13">
        <v>329592.0</v>
      </c>
      <c r="L1126" s="10" t="s">
        <v>17</v>
      </c>
      <c r="M1126" s="15">
        <f t="shared" si="1"/>
        <v>-0.5497671304</v>
      </c>
      <c r="N1126" s="16">
        <v>154.49</v>
      </c>
    </row>
    <row r="1127" ht="15.75" customHeight="1">
      <c r="A1127" s="9" t="s">
        <v>1173</v>
      </c>
      <c r="B1127" s="10" t="s">
        <v>58</v>
      </c>
      <c r="C1127" s="11">
        <v>46013.0</v>
      </c>
      <c r="D1127" s="11">
        <v>46055.0</v>
      </c>
      <c r="E1127" s="10" t="s">
        <v>26</v>
      </c>
      <c r="F1127" s="12">
        <v>18117.0</v>
      </c>
      <c r="G1127" s="13">
        <v>1977.0</v>
      </c>
      <c r="H1127" s="13">
        <v>96.0</v>
      </c>
      <c r="I1127" s="14">
        <v>14552.82</v>
      </c>
      <c r="J1127" s="13">
        <v>46290.0</v>
      </c>
      <c r="K1127" s="13">
        <v>1157250.0</v>
      </c>
      <c r="L1127" s="10" t="s">
        <v>17</v>
      </c>
      <c r="M1127" s="15">
        <f t="shared" si="1"/>
        <v>-0.1967312469</v>
      </c>
      <c r="N1127" s="16">
        <v>188.72</v>
      </c>
    </row>
    <row r="1128" ht="15.75" customHeight="1">
      <c r="A1128" s="32" t="s">
        <v>1174</v>
      </c>
      <c r="B1128" s="33" t="s">
        <v>52</v>
      </c>
      <c r="C1128" s="34">
        <v>45933.0</v>
      </c>
      <c r="D1128" s="34">
        <v>45952.0</v>
      </c>
      <c r="E1128" s="33" t="s">
        <v>35</v>
      </c>
      <c r="F1128" s="35">
        <v>3009.0</v>
      </c>
      <c r="G1128" s="36">
        <v>243.0</v>
      </c>
      <c r="H1128" s="36">
        <v>53.0</v>
      </c>
      <c r="I1128" s="37">
        <v>7243.85</v>
      </c>
      <c r="J1128" s="36">
        <v>8056.0</v>
      </c>
      <c r="K1128" s="36">
        <v>225568.0</v>
      </c>
      <c r="L1128" s="33" t="s">
        <v>17</v>
      </c>
      <c r="M1128" s="15">
        <f t="shared" si="1"/>
        <v>1.407394483</v>
      </c>
      <c r="N1128" s="38">
        <v>56.77</v>
      </c>
    </row>
    <row r="1129" ht="15.75" customHeight="1">
      <c r="C1129" s="11"/>
      <c r="D1129" s="11"/>
      <c r="F1129" s="12"/>
      <c r="G1129" s="13"/>
      <c r="H1129" s="13"/>
      <c r="I1129" s="14"/>
      <c r="J1129" s="13"/>
      <c r="K1129" s="13"/>
      <c r="M1129" s="15"/>
      <c r="N1129" s="21"/>
    </row>
    <row r="1130" ht="15.75" customHeight="1">
      <c r="C1130" s="11"/>
      <c r="D1130" s="11"/>
      <c r="F1130" s="12"/>
      <c r="G1130" s="13"/>
      <c r="H1130" s="13"/>
      <c r="I1130" s="14"/>
      <c r="J1130" s="13"/>
      <c r="K1130" s="13"/>
      <c r="M1130" s="15"/>
      <c r="N1130" s="21"/>
    </row>
  </sheetData>
  <autoFilter ref="$A$1:$N$1128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  <col customWidth="1" min="21" max="21" width="17.25"/>
  </cols>
  <sheetData>
    <row r="1" ht="15.75" customHeight="1">
      <c r="D1" s="24" t="s">
        <v>12</v>
      </c>
    </row>
    <row r="2" ht="15.75" customHeight="1">
      <c r="D2" s="22">
        <f t="shared" ref="D2:D14" si="1">(C2-B2)/B2</f>
        <v>0.9224728921</v>
      </c>
    </row>
    <row r="3" ht="15.75" customHeight="1">
      <c r="D3" s="22">
        <f t="shared" si="1"/>
        <v>0.7953931736</v>
      </c>
    </row>
    <row r="4" ht="15.75" customHeight="1">
      <c r="D4" s="22">
        <f t="shared" si="1"/>
        <v>0.6510371683</v>
      </c>
    </row>
    <row r="5" ht="15.75" customHeight="1">
      <c r="D5" s="22">
        <f t="shared" si="1"/>
        <v>0.598650548</v>
      </c>
    </row>
    <row r="6" ht="15.75" customHeight="1">
      <c r="D6" s="22">
        <f t="shared" si="1"/>
        <v>0.3983914042</v>
      </c>
    </row>
    <row r="7" ht="15.75" customHeight="1">
      <c r="D7" s="22">
        <f t="shared" si="1"/>
        <v>0.5907865411</v>
      </c>
    </row>
    <row r="8" ht="15.75" customHeight="1">
      <c r="D8" s="22">
        <f t="shared" si="1"/>
        <v>0.218210042</v>
      </c>
    </row>
    <row r="9" ht="15.75" customHeight="1">
      <c r="D9" s="22">
        <f t="shared" si="1"/>
        <v>0.1001712129</v>
      </c>
    </row>
    <row r="10" ht="15.75" customHeight="1">
      <c r="D10" s="22">
        <f t="shared" si="1"/>
        <v>0.1055413429</v>
      </c>
    </row>
    <row r="11" ht="15.75" customHeight="1">
      <c r="D11" s="22">
        <f t="shared" si="1"/>
        <v>0.2778072124</v>
      </c>
    </row>
    <row r="12" ht="15.75" customHeight="1">
      <c r="D12" s="22">
        <f t="shared" si="1"/>
        <v>0.2231759812</v>
      </c>
    </row>
    <row r="13" ht="15.75" customHeight="1">
      <c r="D13" s="22">
        <f t="shared" si="1"/>
        <v>-0.1725402013</v>
      </c>
    </row>
    <row r="14" ht="15.75" customHeight="1">
      <c r="D14" s="22">
        <f t="shared" si="1"/>
        <v>0.3832560271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>
      <c r="N23" s="10" t="s">
        <v>12</v>
      </c>
      <c r="O23" s="10" t="s">
        <v>13</v>
      </c>
    </row>
    <row r="24" ht="15.75" customHeight="1">
      <c r="N24" s="22">
        <f t="shared" ref="N24:N26" si="2">(L24-K24)/K24</f>
        <v>1.31007992</v>
      </c>
      <c r="O24" s="12">
        <f t="shared" ref="O24:O26" si="3">K24/M24</f>
        <v>74.20705099</v>
      </c>
    </row>
    <row r="25" ht="15.75" customHeight="1">
      <c r="N25" s="22">
        <f t="shared" si="2"/>
        <v>-0.1646318886</v>
      </c>
      <c r="O25" s="12">
        <f t="shared" si="3"/>
        <v>156.3034919</v>
      </c>
    </row>
    <row r="26" ht="15.75" customHeight="1">
      <c r="N26" s="22">
        <f t="shared" si="2"/>
        <v>0.644757304</v>
      </c>
      <c r="O26" s="12">
        <f t="shared" si="3"/>
        <v>84.26154235</v>
      </c>
    </row>
    <row r="27" ht="15.75" customHeight="1"/>
    <row r="28" ht="15.75" customHeight="1"/>
    <row r="29" ht="15.75" customHeight="1"/>
    <row r="30" ht="15.75" customHeight="1">
      <c r="S30" s="17" t="s">
        <v>524</v>
      </c>
      <c r="T30" s="17" t="s">
        <v>526</v>
      </c>
      <c r="U30" s="17" t="s">
        <v>527</v>
      </c>
      <c r="V30" s="17" t="s">
        <v>528</v>
      </c>
    </row>
    <row r="31" ht="15.75" customHeight="1">
      <c r="S31" s="30">
        <f t="shared" ref="S31:U31" si="4">P31/O31</f>
        <v>0.05283221731</v>
      </c>
      <c r="T31" s="30">
        <f t="shared" si="4"/>
        <v>0.06673516081</v>
      </c>
      <c r="U31" s="30">
        <f t="shared" si="4"/>
        <v>0.1050827243</v>
      </c>
      <c r="V31" s="30">
        <f>R31/O31</f>
        <v>0.0003704971509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>
      <c r="D38" s="10" t="s">
        <v>12</v>
      </c>
    </row>
    <row r="39" ht="15.75" customHeight="1">
      <c r="D39" s="22">
        <f t="shared" ref="D39:D50" si="5">(C39-B39)/B39</f>
        <v>2.005136872</v>
      </c>
    </row>
    <row r="40" ht="15.75" customHeight="1">
      <c r="D40" s="22">
        <f t="shared" si="5"/>
        <v>1.680876552</v>
      </c>
    </row>
    <row r="41" ht="15.75" customHeight="1">
      <c r="D41" s="22">
        <f t="shared" si="5"/>
        <v>5.902301689</v>
      </c>
      <c r="N41" s="10" t="s">
        <v>10</v>
      </c>
      <c r="O41" s="13">
        <v>5.32217318E8</v>
      </c>
      <c r="P41" s="13"/>
    </row>
    <row r="42" ht="15.75" customHeight="1">
      <c r="D42" s="22">
        <f t="shared" si="5"/>
        <v>0.6727828549</v>
      </c>
      <c r="N42" s="10" t="s">
        <v>9</v>
      </c>
      <c r="O42" s="13">
        <v>2.8118221E7</v>
      </c>
      <c r="P42" s="13"/>
    </row>
    <row r="43" ht="15.75" customHeight="1">
      <c r="D43" s="22">
        <f t="shared" si="5"/>
        <v>0.299778632</v>
      </c>
      <c r="N43" s="10" t="s">
        <v>6</v>
      </c>
      <c r="O43" s="13">
        <v>1876474.0</v>
      </c>
      <c r="P43" s="13"/>
    </row>
    <row r="44" ht="15.75" customHeight="1">
      <c r="D44" s="22">
        <f t="shared" si="5"/>
        <v>0.1095583947</v>
      </c>
      <c r="N44" s="10" t="s">
        <v>7</v>
      </c>
      <c r="O44" s="13">
        <v>197185.0</v>
      </c>
      <c r="P44" s="13"/>
    </row>
    <row r="45" ht="15.75" customHeight="1">
      <c r="D45" s="22">
        <f t="shared" si="5"/>
        <v>0.2029927449</v>
      </c>
    </row>
    <row r="46" ht="15.75" customHeight="1">
      <c r="D46" s="22">
        <f t="shared" si="5"/>
        <v>0.0489567971</v>
      </c>
    </row>
    <row r="47" ht="15.75" customHeight="1">
      <c r="D47" s="22">
        <f t="shared" si="5"/>
        <v>2.003652851</v>
      </c>
    </row>
    <row r="48" ht="15.75" customHeight="1">
      <c r="D48" s="22">
        <f t="shared" si="5"/>
        <v>1.069047481</v>
      </c>
    </row>
    <row r="49" ht="15.75" customHeight="1">
      <c r="D49" s="22">
        <f t="shared" si="5"/>
        <v>0.0392787414</v>
      </c>
    </row>
    <row r="50" ht="15.75" customHeight="1">
      <c r="D50" s="22">
        <f t="shared" si="5"/>
        <v>3.026258076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4"/>
</worksheet>
</file>